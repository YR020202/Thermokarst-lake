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9"/>
  </bookViews>
  <sheets>
    <sheet name="Fig. S2a" sheetId="18" r:id="rId1"/>
    <sheet name="Fig. S2b" sheetId="39" r:id="rId2"/>
    <sheet name="Fig. S2c" sheetId="40" r:id="rId3"/>
    <sheet name="Fig. S2d" sheetId="42" r:id="rId4"/>
    <sheet name="Fig. S2e" sheetId="43" r:id="rId5"/>
    <sheet name="Fig. S2fg" sheetId="41" r:id="rId6"/>
    <sheet name="Fig. S3" sheetId="19" r:id="rId7"/>
    <sheet name="Fig. S4" sheetId="38" r:id="rId8"/>
    <sheet name="Fig. S5" sheetId="20" r:id="rId9"/>
    <sheet name="Fig. S9" sheetId="21" r:id="rId10"/>
    <sheet name="Fig. S10" sheetId="22" r:id="rId11"/>
    <sheet name="Fig. S12" sheetId="23" r:id="rId12"/>
    <sheet name="Fig. S15" sheetId="24" r:id="rId13"/>
    <sheet name="Fig.18" sheetId="44" r:id="rId14"/>
    <sheet name="Fig. S19" sheetId="25" r:id="rId15"/>
    <sheet name="Fig. S20" sheetId="26" r:id="rId16"/>
    <sheet name="Fig. S22" sheetId="27" r:id="rId17"/>
    <sheet name="Fig. S23" sheetId="28" r:id="rId18"/>
    <sheet name="Fig. S24" sheetId="29" r:id="rId19"/>
    <sheet name="Fig. S25" sheetId="30" r:id="rId20"/>
    <sheet name="Fig. S26" sheetId="31" r:id="rId21"/>
    <sheet name="Fig. S27" sheetId="3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<sst xmlns="http://schemas.openxmlformats.org/spreadsheetml/2006/main" count="7896" uniqueCount="307">
  <si>
    <t>Group</t>
  </si>
  <si>
    <t>Site</t>
  </si>
  <si>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3</t>
    </r>
    <r>
      <rPr>
        <vertAlign val="superscript"/>
        <sz val="11"/>
        <color theme="1"/>
        <rFont val="Times New Roman"/>
        <charset val="134"/>
      </rPr>
      <t>-</t>
    </r>
    <r>
      <rPr>
        <sz val="11"/>
        <color theme="1"/>
        <rFont val="Times New Roman"/>
        <charset val="134"/>
      </rPr>
      <t xml:space="preserve"> (mg/L)</t>
    </r>
  </si>
  <si>
    <t>Subalkaline</t>
  </si>
  <si>
    <t>S1</t>
  </si>
  <si>
    <t>S2</t>
  </si>
  <si>
    <t>S3</t>
  </si>
  <si>
    <t>S4</t>
  </si>
  <si>
    <t>S5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</si>
  <si>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</si>
  <si>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</si>
  <si>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</si>
  <si>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</si>
  <si>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</si>
  <si>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</si>
  <si>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</si>
  <si>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</si>
  <si>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</si>
  <si>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</si>
  <si>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</si>
  <si>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</si>
  <si>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Alkaline</t>
  </si>
  <si>
    <t>S6</t>
  </si>
  <si>
    <t>S7</t>
  </si>
  <si>
    <t>S8</t>
  </si>
  <si>
    <t>S9</t>
  </si>
  <si>
    <t>S10</t>
  </si>
  <si>
    <t>S23</t>
  </si>
  <si>
    <t>S24</t>
  </si>
  <si>
    <r>
      <rPr>
        <sz val="11"/>
        <color theme="1"/>
        <rFont val="Times New Roman"/>
        <charset val="134"/>
      </rPr>
      <t>NH</t>
    </r>
    <r>
      <rPr>
        <vertAlign val="subscript"/>
        <sz val="11"/>
        <color theme="1"/>
        <rFont val="Times New Roman"/>
        <charset val="134"/>
      </rPr>
      <t>4</t>
    </r>
    <r>
      <rPr>
        <vertAlign val="superscript"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>(mg/L)</t>
    </r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</si>
  <si>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 Flux (μmol 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d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</si>
  <si>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DN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 (nmol/L)</t>
    </r>
  </si>
  <si>
    <t>Sites</t>
  </si>
  <si>
    <t>In-situ nitrification rate (mgN/kg/d)</t>
  </si>
  <si>
    <t>pH</t>
  </si>
  <si>
    <t>CMX</t>
  </si>
  <si>
    <t>AOB</t>
  </si>
  <si>
    <t>AOA</t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</si>
  <si>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 coversion efficiency (%)</t>
    </r>
  </si>
  <si>
    <t>Comammox ammonia oxidation rate (mgN/kg/d)</t>
  </si>
  <si>
    <t>Comammox Nitrospira Clade A</t>
  </si>
  <si>
    <t>AAI</t>
  </si>
  <si>
    <t>ACE10</t>
  </si>
  <si>
    <t>ACE12</t>
  </si>
  <si>
    <t>AMP-bin1</t>
  </si>
  <si>
    <t>CG24B</t>
  </si>
  <si>
    <t>Ga0074138</t>
  </si>
  <si>
    <t>inopinata</t>
  </si>
  <si>
    <t>Kalu132</t>
  </si>
  <si>
    <t>KAN1</t>
  </si>
  <si>
    <t>KAN2</t>
  </si>
  <si>
    <t>Kreftii</t>
  </si>
  <si>
    <t>nitrificans</t>
  </si>
  <si>
    <t>nitrosa</t>
  </si>
  <si>
    <t>RBC001</t>
  </si>
  <si>
    <t>RBC035</t>
  </si>
  <si>
    <t>RBC083</t>
  </si>
  <si>
    <t>RCA</t>
  </si>
  <si>
    <t>RSF1</t>
  </si>
  <si>
    <t>RSF5</t>
  </si>
  <si>
    <t>SG-bin1</t>
  </si>
  <si>
    <t>SG-bin2</t>
  </si>
  <si>
    <t>ST-bin4</t>
  </si>
  <si>
    <t>TKL-Sed-bin.222</t>
  </si>
  <si>
    <t>UBA2082</t>
  </si>
  <si>
    <t>UBA5702</t>
  </si>
  <si>
    <t>UW-LDO-01</t>
  </si>
  <si>
    <t>ANI</t>
  </si>
  <si>
    <t>Comammox Nitrospira Clade B</t>
  </si>
  <si>
    <t>TKL-Sed-bin.104</t>
  </si>
  <si>
    <t>La1-X1</t>
  </si>
  <si>
    <t>RCB</t>
  </si>
  <si>
    <t>palsa_1315</t>
  </si>
  <si>
    <t>TKL-Sed-bin.116</t>
  </si>
  <si>
    <t>palsa_1310</t>
  </si>
  <si>
    <t>TKL-Sed-bin.70</t>
  </si>
  <si>
    <t>RSF7</t>
  </si>
  <si>
    <t>La3-X1</t>
  </si>
  <si>
    <t>TKL-Sed-bin.378</t>
  </si>
  <si>
    <t>CG24C</t>
  </si>
  <si>
    <t>TKL-Sed-bin.51</t>
  </si>
  <si>
    <t>ES_bin_41</t>
  </si>
  <si>
    <t>CG24A</t>
  </si>
  <si>
    <t>WB_IL_16</t>
  </si>
  <si>
    <t>RSF6</t>
  </si>
  <si>
    <t>HD017</t>
  </si>
  <si>
    <t>RSF3</t>
  </si>
  <si>
    <t>WB04</t>
  </si>
  <si>
    <t>TKL-Sed-bin.154</t>
  </si>
  <si>
    <t>CG24E</t>
  </si>
  <si>
    <t>Hainich-H41</t>
  </si>
  <si>
    <t>Hainich-H51</t>
  </si>
  <si>
    <t>RSF11</t>
  </si>
  <si>
    <t>TKL-sed-bin.116</t>
  </si>
  <si>
    <t>TKL-sed-bin.70</t>
  </si>
  <si>
    <t>TKL-sed-bin.154</t>
  </si>
  <si>
    <t>TKL-sed-bin.51</t>
  </si>
  <si>
    <t>TKL-sed-bin.378</t>
  </si>
  <si>
    <t>TKL-sed-bin.104</t>
  </si>
  <si>
    <t>TKL-Sed-bin.115</t>
  </si>
  <si>
    <t>TKL-Sed-bin.29</t>
  </si>
  <si>
    <t>TKL-Sed-bin.398</t>
  </si>
  <si>
    <t>TKL-Sed-bin.66</t>
  </si>
  <si>
    <t>bin_CM3.5</t>
  </si>
  <si>
    <t>Ca.Nitrosocosmicus_franklandus_C13</t>
  </si>
  <si>
    <t>Ca.Nitrosocosmicus_hydrocola_G61</t>
  </si>
  <si>
    <t>Ca.Nitrosocosmicus_oleophilus_MY3</t>
  </si>
  <si>
    <t>Ca.Nitrosocosmicus_sp.Kfb</t>
  </si>
  <si>
    <t>Ca.Nitrososphaera_evergladensis_SR1</t>
  </si>
  <si>
    <t>Ca.Nitrososphaera_gargensis_Ga9.2</t>
  </si>
  <si>
    <t>CR_Sed_300A_bin.38</t>
  </si>
  <si>
    <t>EN76</t>
  </si>
  <si>
    <t>F1_bin.4</t>
  </si>
  <si>
    <t>TKL-Sed-bin.174</t>
  </si>
  <si>
    <t>TKL-Sed-bin.299</t>
  </si>
  <si>
    <t>TKL-Sed-bin.419</t>
  </si>
  <si>
    <t>SN_bin.17</t>
  </si>
  <si>
    <t>TH1177</t>
  </si>
  <si>
    <t>TH1917</t>
  </si>
  <si>
    <t>TH1920</t>
  </si>
  <si>
    <t>TH4187</t>
  </si>
  <si>
    <t>TH526</t>
  </si>
  <si>
    <t>TH5888</t>
  </si>
  <si>
    <t>TH5893</t>
  </si>
  <si>
    <t>TH5894</t>
  </si>
  <si>
    <t>TH5895</t>
  </si>
  <si>
    <t>TH5896</t>
  </si>
  <si>
    <t>TH703</t>
  </si>
  <si>
    <t>UBA216</t>
  </si>
  <si>
    <t>UBA348</t>
  </si>
  <si>
    <t>TKL-sed-bin.346</t>
  </si>
  <si>
    <t>aestuariiNm36</t>
  </si>
  <si>
    <t>Nm51</t>
  </si>
  <si>
    <t>Nm22</t>
  </si>
  <si>
    <t>Is79A3</t>
  </si>
  <si>
    <t>Nm45</t>
  </si>
  <si>
    <t>supralitoralisAPG5</t>
  </si>
  <si>
    <t>ureaeNm15</t>
  </si>
  <si>
    <t>UreaNm10</t>
  </si>
  <si>
    <t>cryotoleransATCC49181</t>
  </si>
  <si>
    <t>Nm132</t>
  </si>
  <si>
    <t>Nm58</t>
  </si>
  <si>
    <t>Nm33</t>
  </si>
  <si>
    <t>Nm90</t>
  </si>
  <si>
    <t>Nm110</t>
  </si>
  <si>
    <t>Nm34</t>
  </si>
  <si>
    <t>Nm44</t>
  </si>
  <si>
    <t>halophilaNm1</t>
  </si>
  <si>
    <t>Nm35</t>
  </si>
  <si>
    <t>Nm50</t>
  </si>
  <si>
    <t>europaeaATCC19718</t>
  </si>
  <si>
    <t>Nm24</t>
  </si>
  <si>
    <t>Nm14</t>
  </si>
  <si>
    <t>TKL-sed-bin.64</t>
  </si>
  <si>
    <t>Nitrospira_sp_Marina</t>
  </si>
  <si>
    <t>Nitrospira_sp_HKSTAS2</t>
  </si>
  <si>
    <t>Nitrospira_sp_HKST_UBA08</t>
  </si>
  <si>
    <t>Nitrospira_sp_HKST_UBA09</t>
  </si>
  <si>
    <t>Nitrospira_sp_RBC003</t>
  </si>
  <si>
    <t>Nitrospira_sp_MGR_bin327</t>
  </si>
  <si>
    <t>TKL-sed-bin.19</t>
  </si>
  <si>
    <t>Nitrospira_sp_UBA8639</t>
  </si>
  <si>
    <t>Nitrospira_alkalitolerans_KS</t>
  </si>
  <si>
    <t>Nitrospira_sp_HKST_UBA06</t>
  </si>
  <si>
    <t>Nitrospira_sp_HKST_UBA03</t>
  </si>
  <si>
    <t>Nitrospira_sp_HKST_UBA02</t>
  </si>
  <si>
    <t>Nitrospira_sp_HKST_UBA05</t>
  </si>
  <si>
    <t>Nitrospira_sp_HKSTAS1</t>
  </si>
  <si>
    <t>Nitrospira_sp_HKST_UBA04</t>
  </si>
  <si>
    <t>Nitrospira_sp_MH_Pat10</t>
  </si>
  <si>
    <t>Nitrospira_sp_CO36405bin_1</t>
  </si>
  <si>
    <t>Nitrospira_sp_SB0675_bin23</t>
  </si>
  <si>
    <t>Nitrospira_sp_MEX2_MAG12</t>
  </si>
  <si>
    <t>Nitrospira_sp_Bin75</t>
  </si>
  <si>
    <t>Nitrospira_sp_SB0677_bin15</t>
  </si>
  <si>
    <t>Nitrospira_sp_SB0662_bin26</t>
  </si>
  <si>
    <t>Nitrospira_sp_SB0667_bin9</t>
  </si>
  <si>
    <t>Nitrospira_sp_SB0673_bin12</t>
  </si>
  <si>
    <t>Nitrospira_sp_SB0666_bin27</t>
  </si>
  <si>
    <t>Nitrospira_sp_Plut88904</t>
  </si>
  <si>
    <t>Nitrospira_sp_MEX2_MAG7</t>
  </si>
  <si>
    <t>Nitrospira_sp_PNGst-C-binSS2</t>
  </si>
  <si>
    <t>NitrospiraMarina</t>
  </si>
  <si>
    <t>RBC003</t>
  </si>
  <si>
    <t>Nitrogen Metabolism</t>
  </si>
  <si>
    <t>Subalkaline sites</t>
  </si>
  <si>
    <t>Alkaline sites</t>
  </si>
  <si>
    <t>amoA</t>
  </si>
  <si>
    <t>AOA-α</t>
  </si>
  <si>
    <t>TKL-sed-bin.155</t>
  </si>
  <si>
    <t>AOA-β</t>
  </si>
  <si>
    <t>TKL-sed-bin.29</t>
  </si>
  <si>
    <t>AOA-γ</t>
  </si>
  <si>
    <t>TKL-sed-bin.398</t>
  </si>
  <si>
    <t>TKL-sed-bin.299</t>
  </si>
  <si>
    <t>AOA-δ</t>
  </si>
  <si>
    <t>TKL-sed-bin.174</t>
  </si>
  <si>
    <t>TKL-sed-bin.419</t>
  </si>
  <si>
    <t>AOA-ε</t>
  </si>
  <si>
    <t>TKL-sed-bin.66</t>
  </si>
  <si>
    <t>CMX-B</t>
  </si>
  <si>
    <t>CMX-A</t>
  </si>
  <si>
    <t>TKL-sed-bin.222</t>
  </si>
  <si>
    <t>Average</t>
  </si>
  <si>
    <t>log</t>
  </si>
  <si>
    <t>amoB</t>
  </si>
  <si>
    <t>amoC</t>
  </si>
  <si>
    <t>amoABC</t>
  </si>
  <si>
    <t>amt</t>
  </si>
  <si>
    <t>nxrA</t>
  </si>
  <si>
    <t>nxB</t>
  </si>
  <si>
    <t>Urt</t>
  </si>
  <si>
    <t>Urease</t>
  </si>
  <si>
    <t>nirK</t>
  </si>
  <si>
    <t>GltB/GltD</t>
  </si>
  <si>
    <t>GlnA</t>
  </si>
  <si>
    <t>Urea cycle</t>
  </si>
  <si>
    <t>Carbon Metabolism</t>
  </si>
  <si>
    <t>aclAB</t>
  </si>
  <si>
    <t>PorABG</t>
  </si>
  <si>
    <t>3HP/4HB</t>
  </si>
  <si>
    <t>rcbL/rcbS</t>
  </si>
  <si>
    <t>Glycolysis</t>
  </si>
  <si>
    <t>ACS</t>
  </si>
  <si>
    <t>Energy metabolism</t>
  </si>
  <si>
    <t>Complex I</t>
  </si>
  <si>
    <t>Complex II</t>
  </si>
  <si>
    <t>Complex III</t>
  </si>
  <si>
    <t>cbb3</t>
  </si>
  <si>
    <t>bd</t>
  </si>
  <si>
    <t>V-typeATPase</t>
  </si>
  <si>
    <t>F-typeATPase</t>
  </si>
  <si>
    <t>V/F-typeATPase</t>
  </si>
  <si>
    <t>Stress response</t>
  </si>
  <si>
    <t>HSP20</t>
  </si>
  <si>
    <t>DnaJ</t>
  </si>
  <si>
    <t>DnaK</t>
  </si>
  <si>
    <t>GroEL</t>
  </si>
  <si>
    <t>GroES</t>
  </si>
  <si>
    <t>GroEL/GroES</t>
  </si>
  <si>
    <t>CCT</t>
  </si>
  <si>
    <t>GrpE</t>
  </si>
  <si>
    <t>SOD1/SOD2</t>
  </si>
  <si>
    <t>Other metabolism</t>
  </si>
  <si>
    <t>Oxidative Phosphorylation</t>
  </si>
  <si>
    <t>Sulfur metabolism</t>
  </si>
  <si>
    <t>Hydrogenase maturation</t>
  </si>
  <si>
    <t>PHA synthesis</t>
  </si>
  <si>
    <t>log2(Average expression + 1)</t>
  </si>
  <si>
    <t>Pvalue</t>
  </si>
  <si>
    <t>method</t>
  </si>
  <si>
    <t>students t-test</t>
  </si>
  <si>
    <t>Welch t-test</t>
  </si>
  <si>
    <t>non-significant</t>
  </si>
  <si>
    <t>Phosphorus metabolism</t>
  </si>
  <si>
    <t>K15778</t>
  </si>
  <si>
    <t>K01835</t>
  </si>
  <si>
    <t>K13810</t>
  </si>
  <si>
    <t>K01810</t>
  </si>
  <si>
    <t>K01622</t>
  </si>
  <si>
    <t>K03841</t>
  </si>
  <si>
    <t>K11645</t>
  </si>
  <si>
    <t>K01803</t>
  </si>
  <si>
    <t>K00134</t>
  </si>
  <si>
    <t>K00150</t>
  </si>
  <si>
    <t>K00927</t>
  </si>
  <si>
    <t>K15635</t>
  </si>
  <si>
    <t>K01689</t>
  </si>
  <si>
    <t>K00873</t>
  </si>
  <si>
    <t>K01647</t>
  </si>
  <si>
    <t>K15230</t>
  </si>
  <si>
    <t>K15231</t>
  </si>
  <si>
    <t>K01681</t>
  </si>
  <si>
    <t>K00030</t>
  </si>
  <si>
    <t>K00175</t>
  </si>
  <si>
    <t>K01903</t>
  </si>
  <si>
    <t>K01902</t>
  </si>
  <si>
    <t>K01679</t>
  </si>
  <si>
    <t>K00024</t>
  </si>
  <si>
    <t>K00239</t>
  </si>
  <si>
    <t>K00240</t>
  </si>
  <si>
    <t>K00241</t>
  </si>
  <si>
    <t>K00242</t>
  </si>
  <si>
    <t>K18603</t>
  </si>
  <si>
    <t>K18604</t>
  </si>
  <si>
    <t>K18605</t>
  </si>
  <si>
    <t>K18594</t>
  </si>
  <si>
    <t>K15019</t>
  </si>
  <si>
    <t>K01849</t>
  </si>
  <si>
    <t>K01848</t>
  </si>
  <si>
    <t>K14534</t>
  </si>
  <si>
    <t>K15016</t>
  </si>
  <si>
    <t>K00626</t>
  </si>
  <si>
    <t>K01601/K01602</t>
  </si>
  <si>
    <t>K01624</t>
  </si>
  <si>
    <t>K00615</t>
  </si>
  <si>
    <t>K00134/K00150</t>
  </si>
  <si>
    <t>K01011</t>
  </si>
  <si>
    <t>K00390</t>
  </si>
  <si>
    <t>K01738</t>
  </si>
  <si>
    <t>K00392</t>
  </si>
  <si>
    <t>K00939</t>
  </si>
  <si>
    <t>K22468</t>
  </si>
  <si>
    <t>K10507</t>
  </si>
  <si>
    <t>K01524</t>
  </si>
  <si>
    <t>K03306</t>
  </si>
  <si>
    <t>K02036-K02040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</si>
</sst>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b/>
      <sz val="10"/>
      <color rgb="FFFF0000"/>
      <name val="Times New Roman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10"/>
      <color rgb="FFFF0000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  <font>
      <vertAlign val="superscript"/>
      <sz val="11"/>
      <color theme="1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071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24" fillId="14" borderId="11" applyNumberFormat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2" fillId="0" borderId="4" xfId="0" applyNumberFormat="1" applyFont="1" applyBorder="1">
      <alignment vertical="center"/>
    </xf>
    <xf numFmtId="176" fontId="1" fillId="4" borderId="0" xfId="0" applyNumberFormat="1" applyFont="1" applyFill="1" applyAlignment="1">
      <alignment horizontal="center" vertical="center"/>
    </xf>
    <xf numFmtId="176" fontId="1" fillId="0" borderId="3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5" xfId="0" applyNumberFormat="1" applyFont="1" applyBorder="1">
      <alignment vertical="center"/>
    </xf>
    <xf numFmtId="176" fontId="1" fillId="0" borderId="6" xfId="0" applyNumberFormat="1" applyFont="1" applyBorder="1">
      <alignment vertical="center"/>
    </xf>
    <xf numFmtId="176" fontId="3" fillId="5" borderId="0" xfId="0" applyNumberFormat="1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4" fillId="0" borderId="0" xfId="0" applyFont="1" applyBorder="1">
      <alignment vertical="center"/>
    </xf>
    <xf numFmtId="177" fontId="4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0" xfId="0" applyBorder="1">
      <alignment vertical="center"/>
    </xf>
    <xf numFmtId="0" fontId="5" fillId="0" borderId="0" xfId="0" applyFont="1" applyBorder="1" applyAlignment="1"/>
    <xf numFmtId="0" fontId="2" fillId="0" borderId="0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0" borderId="0" xfId="0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/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 applyBorder="1">
      <alignment vertical="center"/>
    </xf>
    <xf numFmtId="0" fontId="12" fillId="0" borderId="0" xfId="0" applyFont="1">
      <alignment vertical="center"/>
    </xf>
    <xf numFmtId="0" fontId="0" fillId="0" borderId="0" xfId="0" applyFont="1">
      <alignment vertical="center"/>
    </xf>
    <xf numFmtId="0" fontId="13" fillId="0" borderId="0" xfId="0" applyFont="1" applyAlignment="1"/>
    <xf numFmtId="0" fontId="1" fillId="0" borderId="4" xfId="0" applyFont="1" applyBorder="1" applyAlignment="1">
      <alignment horizontal="center" vertical="center"/>
    </xf>
    <xf numFmtId="11" fontId="1" fillId="0" borderId="4" xfId="0" applyNumberFormat="1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1" fillId="10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L37" sqref="L37"/>
    </sheetView>
  </sheetViews>
  <sheetFormatPr defaultColWidth="8.75454545454545" defaultRowHeight="14" outlineLevelCol="4"/>
  <cols>
    <col min="1" max="1" width="14.9090909090909" customWidth="1"/>
    <col min="2" max="2" width="9" customWidth="1"/>
    <col min="3" max="3" width="11.7272727272727"/>
    <col min="4" max="4" width="12.1818181818182" customWidth="1"/>
    <col min="5" max="6" width="12.8181818181818"/>
    <col min="7" max="8" width="10.5454545454545"/>
    <col min="9" max="9" width="12.8181818181818"/>
  </cols>
  <sheetData>
    <row r="1" ht="17.5" spans="1:5">
      <c r="A1" s="9" t="s">
        <v>0</v>
      </c>
      <c r="B1" s="9" t="s">
        <v>1</v>
      </c>
      <c r="C1" s="55" t="s">
        <v>2</v>
      </c>
      <c r="D1" s="55"/>
      <c r="E1" s="55"/>
    </row>
    <row r="2" spans="1:5">
      <c r="A2" s="63" t="s">
        <v>3</v>
      </c>
      <c r="B2" s="9" t="s">
        <v>4</v>
      </c>
      <c r="C2" s="9">
        <v>0.262</v>
      </c>
      <c r="D2" s="9">
        <v>0.311</v>
      </c>
      <c r="E2" s="9">
        <v>0.273</v>
      </c>
    </row>
    <row r="3" spans="1:5">
      <c r="A3" s="63"/>
      <c r="B3" s="9" t="s">
        <v>5</v>
      </c>
      <c r="C3" s="9">
        <v>1.084</v>
      </c>
      <c r="D3" s="9">
        <v>1.108</v>
      </c>
      <c r="E3" s="9">
        <v>1.087</v>
      </c>
    </row>
    <row r="4" spans="1:5">
      <c r="A4" s="63"/>
      <c r="B4" s="9" t="s">
        <v>6</v>
      </c>
      <c r="C4" s="9">
        <v>0.418</v>
      </c>
      <c r="D4" s="9">
        <v>0.453</v>
      </c>
      <c r="E4" s="9">
        <v>0.488</v>
      </c>
    </row>
    <row r="5" spans="1:5">
      <c r="A5" s="63"/>
      <c r="B5" s="9" t="s">
        <v>7</v>
      </c>
      <c r="C5" s="9">
        <v>0.429</v>
      </c>
      <c r="D5" s="9">
        <v>0.425</v>
      </c>
      <c r="E5" s="9">
        <v>0.425</v>
      </c>
    </row>
    <row r="6" spans="1:5">
      <c r="A6" s="63"/>
      <c r="B6" s="9" t="s">
        <v>8</v>
      </c>
      <c r="C6" s="9">
        <v>0.547</v>
      </c>
      <c r="D6" s="9">
        <v>0.54</v>
      </c>
      <c r="E6" s="9">
        <v>0.508</v>
      </c>
    </row>
    <row r="7" spans="1:5">
      <c r="A7" s="63"/>
      <c r="B7" s="9" t="s">
        <v>9</v>
      </c>
      <c r="C7" s="9">
        <v>0.155</v>
      </c>
      <c r="D7" s="9">
        <v>0.172</v>
      </c>
      <c r="E7" s="9">
        <v>0.152</v>
      </c>
    </row>
    <row r="8" spans="1:5">
      <c r="A8" s="63"/>
      <c r="B8" s="9" t="s">
        <v>10</v>
      </c>
      <c r="C8" s="9">
        <v>0.418</v>
      </c>
      <c r="D8" s="9">
        <v>0.411</v>
      </c>
      <c r="E8" s="9">
        <v>0.411</v>
      </c>
    </row>
    <row r="9" spans="1:5">
      <c r="A9" s="63"/>
      <c r="B9" s="9" t="s">
        <v>11</v>
      </c>
      <c r="C9" s="9">
        <v>0.651</v>
      </c>
      <c r="D9" s="9">
        <v>0.751</v>
      </c>
      <c r="E9" s="9">
        <v>0.685</v>
      </c>
    </row>
    <row r="10" spans="1:5">
      <c r="A10" s="63"/>
      <c r="B10" s="9" t="s">
        <v>12</v>
      </c>
      <c r="C10" s="9">
        <v>1.569</v>
      </c>
      <c r="D10" s="9">
        <v>1.572</v>
      </c>
      <c r="E10" s="9">
        <v>1.555</v>
      </c>
    </row>
    <row r="11" spans="1:5">
      <c r="A11" s="63"/>
      <c r="B11" s="9" t="s">
        <v>13</v>
      </c>
      <c r="C11" s="9">
        <v>1.413</v>
      </c>
      <c r="D11" s="9">
        <v>1.472</v>
      </c>
      <c r="E11" s="9">
        <v>1.465</v>
      </c>
    </row>
    <row r="12" spans="1:5">
      <c r="A12" s="63"/>
      <c r="B12" s="9" t="s">
        <v>14</v>
      </c>
      <c r="C12" s="9">
        <v>0.401</v>
      </c>
      <c r="D12" s="9">
        <v>0.38</v>
      </c>
      <c r="E12" s="9">
        <v>0.398</v>
      </c>
    </row>
    <row r="13" spans="1:5">
      <c r="A13" s="63"/>
      <c r="B13" s="9" t="s">
        <v>15</v>
      </c>
      <c r="C13" s="9">
        <v>0.359</v>
      </c>
      <c r="D13" s="9">
        <v>0.41</v>
      </c>
      <c r="E13" s="9">
        <v>0.46</v>
      </c>
    </row>
    <row r="14" spans="1:5">
      <c r="A14" s="63"/>
      <c r="B14" s="9" t="s">
        <v>16</v>
      </c>
      <c r="C14" s="9">
        <v>0.349</v>
      </c>
      <c r="D14" s="9">
        <v>0.363</v>
      </c>
      <c r="E14" s="9">
        <v>0.373</v>
      </c>
    </row>
    <row r="15" spans="1:5">
      <c r="A15" s="63"/>
      <c r="B15" s="9" t="s">
        <v>17</v>
      </c>
      <c r="C15" s="9">
        <v>0.741</v>
      </c>
      <c r="D15" s="9">
        <v>0.734</v>
      </c>
      <c r="E15" s="9">
        <v>0.727</v>
      </c>
    </row>
    <row r="16" spans="1:5">
      <c r="A16" s="63"/>
      <c r="B16" s="9" t="s">
        <v>18</v>
      </c>
      <c r="C16" s="9">
        <v>0.45</v>
      </c>
      <c r="D16" s="9">
        <v>0.457</v>
      </c>
      <c r="E16" s="9">
        <v>0.519</v>
      </c>
    </row>
    <row r="17" spans="1:5">
      <c r="A17" s="63"/>
      <c r="B17" s="9" t="s">
        <v>19</v>
      </c>
      <c r="C17" s="9">
        <v>0.557</v>
      </c>
      <c r="D17" s="9">
        <v>0.519</v>
      </c>
      <c r="E17" s="9">
        <v>0.502</v>
      </c>
    </row>
    <row r="18" spans="1:5">
      <c r="A18" s="63"/>
      <c r="B18" s="9" t="s">
        <v>20</v>
      </c>
      <c r="C18" s="9">
        <v>0.595</v>
      </c>
      <c r="D18" s="9">
        <v>0.716</v>
      </c>
      <c r="E18" s="9">
        <v>0.696</v>
      </c>
    </row>
    <row r="19" spans="1:5">
      <c r="A19" s="64" t="s">
        <v>21</v>
      </c>
      <c r="B19" s="9" t="s">
        <v>22</v>
      </c>
      <c r="C19" s="9">
        <v>0.321</v>
      </c>
      <c r="D19" s="9">
        <v>0.294</v>
      </c>
      <c r="E19" s="9">
        <v>0.304</v>
      </c>
    </row>
    <row r="20" spans="1:5">
      <c r="A20" s="64"/>
      <c r="B20" s="9" t="s">
        <v>23</v>
      </c>
      <c r="C20" s="9">
        <v>0.259</v>
      </c>
      <c r="D20" s="9">
        <v>0.238</v>
      </c>
      <c r="E20" s="9">
        <v>0.346</v>
      </c>
    </row>
    <row r="21" spans="1:5">
      <c r="A21" s="64"/>
      <c r="B21" s="9" t="s">
        <v>24</v>
      </c>
      <c r="C21" s="9">
        <v>0.488</v>
      </c>
      <c r="D21" s="9">
        <v>0.491</v>
      </c>
      <c r="E21" s="9">
        <v>0.495</v>
      </c>
    </row>
    <row r="22" spans="1:5">
      <c r="A22" s="64"/>
      <c r="B22" s="9" t="s">
        <v>25</v>
      </c>
      <c r="C22" s="9">
        <v>0.761</v>
      </c>
      <c r="D22" s="9">
        <v>0.671</v>
      </c>
      <c r="E22" s="9">
        <v>0.668</v>
      </c>
    </row>
    <row r="23" spans="1:5">
      <c r="A23" s="64"/>
      <c r="B23" s="9" t="s">
        <v>26</v>
      </c>
      <c r="C23" s="9">
        <v>0.796</v>
      </c>
      <c r="D23" s="9">
        <v>0.796</v>
      </c>
      <c r="E23" s="9">
        <v>0.786</v>
      </c>
    </row>
    <row r="24" spans="1:5">
      <c r="A24" s="64"/>
      <c r="B24" s="9" t="s">
        <v>27</v>
      </c>
      <c r="C24" s="9">
        <v>0.304</v>
      </c>
      <c r="D24" s="9">
        <v>0.307</v>
      </c>
      <c r="E24" s="9">
        <v>0.301</v>
      </c>
    </row>
    <row r="25" spans="1:5">
      <c r="A25" s="64"/>
      <c r="B25" s="9" t="s">
        <v>28</v>
      </c>
      <c r="C25" s="9">
        <v>0.567</v>
      </c>
      <c r="D25" s="9">
        <v>0.56</v>
      </c>
      <c r="E25" s="9">
        <v>0.56</v>
      </c>
    </row>
  </sheetData>
  <mergeCells count="3">
    <mergeCell ref="C1:E1"/>
    <mergeCell ref="A2:A18"/>
    <mergeCell ref="A19:A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L37" sqref="L37"/>
    </sheetView>
  </sheetViews>
  <sheetFormatPr defaultColWidth="8.72727272727273" defaultRowHeight="14" outlineLevelCol="4"/>
  <cols>
    <col min="1" max="1" width="11.0909090909091" customWidth="1"/>
    <col min="3" max="5" width="10.0909090909091" customWidth="1"/>
    <col min="8" max="8" width="10.7272727272727" customWidth="1"/>
    <col min="9" max="9" width="11.7272727272727" customWidth="1"/>
    <col min="10" max="10" width="11.1818181818182" customWidth="1"/>
    <col min="11" max="11" width="12.8181818181818"/>
  </cols>
  <sheetData>
    <row r="1" ht="17.5" spans="1:5">
      <c r="A1" s="9" t="s">
        <v>0</v>
      </c>
      <c r="B1" s="9" t="s">
        <v>1</v>
      </c>
      <c r="C1" s="55" t="s">
        <v>29</v>
      </c>
      <c r="D1" s="55"/>
      <c r="E1" s="55"/>
    </row>
    <row r="2" spans="1:5">
      <c r="A2" s="63" t="s">
        <v>3</v>
      </c>
      <c r="B2" s="9" t="s">
        <v>4</v>
      </c>
      <c r="C2" s="9">
        <v>0.016</v>
      </c>
      <c r="D2" s="9">
        <v>0.014</v>
      </c>
      <c r="E2" s="9">
        <v>0.01</v>
      </c>
    </row>
    <row r="3" spans="1:5">
      <c r="A3" s="63"/>
      <c r="B3" s="9" t="s">
        <v>5</v>
      </c>
      <c r="C3" s="9">
        <v>0.044</v>
      </c>
      <c r="D3" s="9">
        <v>0.046</v>
      </c>
      <c r="E3" s="9">
        <v>0.046</v>
      </c>
    </row>
    <row r="4" spans="1:5">
      <c r="A4" s="63"/>
      <c r="B4" s="9" t="s">
        <v>6</v>
      </c>
      <c r="C4" s="9">
        <v>0.028</v>
      </c>
      <c r="D4" s="9">
        <v>0.03</v>
      </c>
      <c r="E4" s="9">
        <v>0.03</v>
      </c>
    </row>
    <row r="5" spans="1:5">
      <c r="A5" s="63"/>
      <c r="B5" s="9" t="s">
        <v>7</v>
      </c>
      <c r="C5" s="9">
        <v>0.036</v>
      </c>
      <c r="D5" s="9">
        <v>0.034</v>
      </c>
      <c r="E5" s="9">
        <v>0.036</v>
      </c>
    </row>
    <row r="6" spans="1:5">
      <c r="A6" s="63"/>
      <c r="B6" s="9" t="s">
        <v>8</v>
      </c>
      <c r="C6" s="9">
        <v>0.03</v>
      </c>
      <c r="D6" s="9">
        <v>0.03</v>
      </c>
      <c r="E6" s="9">
        <v>0.034</v>
      </c>
    </row>
    <row r="7" spans="1:5">
      <c r="A7" s="63"/>
      <c r="B7" s="9" t="s">
        <v>9</v>
      </c>
      <c r="C7" s="9">
        <v>0.066</v>
      </c>
      <c r="D7" s="9">
        <v>0.064</v>
      </c>
      <c r="E7" s="9">
        <v>0.064</v>
      </c>
    </row>
    <row r="8" spans="1:5">
      <c r="A8" s="63"/>
      <c r="B8" s="9" t="s">
        <v>10</v>
      </c>
      <c r="C8" s="9">
        <v>0.022</v>
      </c>
      <c r="D8" s="9">
        <v>0.022</v>
      </c>
      <c r="E8" s="9">
        <v>0.02</v>
      </c>
    </row>
    <row r="9" spans="1:5">
      <c r="A9" s="63"/>
      <c r="B9" s="9" t="s">
        <v>11</v>
      </c>
      <c r="C9" s="9">
        <v>0.03</v>
      </c>
      <c r="D9" s="9">
        <v>0.026</v>
      </c>
      <c r="E9" s="9">
        <v>0.028</v>
      </c>
    </row>
    <row r="10" spans="1:5">
      <c r="A10" s="63"/>
      <c r="B10" s="9" t="s">
        <v>12</v>
      </c>
      <c r="C10" s="9">
        <v>0.02</v>
      </c>
      <c r="D10" s="9">
        <v>0.018</v>
      </c>
      <c r="E10" s="9">
        <v>0.018</v>
      </c>
    </row>
    <row r="11" spans="1:5">
      <c r="A11" s="63"/>
      <c r="B11" s="9" t="s">
        <v>13</v>
      </c>
      <c r="C11" s="9">
        <v>0.038</v>
      </c>
      <c r="D11" s="9">
        <v>0.038</v>
      </c>
      <c r="E11" s="9">
        <v>0.034</v>
      </c>
    </row>
    <row r="12" spans="1:5">
      <c r="A12" s="63"/>
      <c r="B12" s="9" t="s">
        <v>14</v>
      </c>
      <c r="C12" s="9">
        <v>0.02</v>
      </c>
      <c r="D12" s="9">
        <v>0.02</v>
      </c>
      <c r="E12" s="9">
        <v>0.022</v>
      </c>
    </row>
    <row r="13" spans="1:5">
      <c r="A13" s="63"/>
      <c r="B13" s="9" t="s">
        <v>15</v>
      </c>
      <c r="C13" s="9">
        <v>0.018</v>
      </c>
      <c r="D13" s="9">
        <v>0.02</v>
      </c>
      <c r="E13" s="9">
        <v>0.02</v>
      </c>
    </row>
    <row r="14" spans="1:5">
      <c r="A14" s="63"/>
      <c r="B14" s="9" t="s">
        <v>16</v>
      </c>
      <c r="C14" s="9">
        <v>0.028</v>
      </c>
      <c r="D14" s="9">
        <v>0.026</v>
      </c>
      <c r="E14" s="9">
        <v>0.026</v>
      </c>
    </row>
    <row r="15" spans="1:5">
      <c r="A15" s="63"/>
      <c r="B15" s="9" t="s">
        <v>17</v>
      </c>
      <c r="C15" s="9">
        <v>0.028</v>
      </c>
      <c r="D15" s="9">
        <v>0.032</v>
      </c>
      <c r="E15" s="9">
        <v>0.032</v>
      </c>
    </row>
    <row r="16" spans="1:5">
      <c r="A16" s="63"/>
      <c r="B16" s="9" t="s">
        <v>18</v>
      </c>
      <c r="C16" s="9">
        <v>0.022</v>
      </c>
      <c r="D16" s="9">
        <v>0.024</v>
      </c>
      <c r="E16" s="9">
        <v>0.022</v>
      </c>
    </row>
    <row r="17" spans="1:5">
      <c r="A17" s="63"/>
      <c r="B17" s="9" t="s">
        <v>19</v>
      </c>
      <c r="C17" s="9">
        <v>0.018</v>
      </c>
      <c r="D17" s="9">
        <v>0.016</v>
      </c>
      <c r="E17" s="9">
        <v>0.014</v>
      </c>
    </row>
    <row r="18" spans="1:5">
      <c r="A18" s="63"/>
      <c r="B18" s="9" t="s">
        <v>20</v>
      </c>
      <c r="C18" s="9">
        <v>0.022</v>
      </c>
      <c r="D18" s="9">
        <v>0.022</v>
      </c>
      <c r="E18" s="9">
        <v>0.024</v>
      </c>
    </row>
    <row r="19" spans="1:5">
      <c r="A19" s="64" t="s">
        <v>21</v>
      </c>
      <c r="B19" s="9" t="s">
        <v>22</v>
      </c>
      <c r="C19" s="9">
        <v>0.046</v>
      </c>
      <c r="D19" s="9">
        <v>0.048</v>
      </c>
      <c r="E19" s="9">
        <v>0.046</v>
      </c>
    </row>
    <row r="20" spans="1:5">
      <c r="A20" s="64"/>
      <c r="B20" s="9" t="s">
        <v>23</v>
      </c>
      <c r="C20" s="9">
        <v>0.016</v>
      </c>
      <c r="D20" s="9">
        <v>0.016</v>
      </c>
      <c r="E20" s="9">
        <v>0.016</v>
      </c>
    </row>
    <row r="21" spans="1:5">
      <c r="A21" s="64"/>
      <c r="B21" s="9" t="s">
        <v>24</v>
      </c>
      <c r="C21" s="9">
        <v>0.026</v>
      </c>
      <c r="D21" s="9">
        <v>0.024</v>
      </c>
      <c r="E21" s="9">
        <v>0.026</v>
      </c>
    </row>
    <row r="22" spans="1:5">
      <c r="A22" s="64"/>
      <c r="B22" s="9" t="s">
        <v>25</v>
      </c>
      <c r="C22" s="9">
        <v>0.05</v>
      </c>
      <c r="D22" s="9">
        <v>0.052</v>
      </c>
      <c r="E22" s="9">
        <v>0.052</v>
      </c>
    </row>
    <row r="23" spans="1:5">
      <c r="A23" s="64"/>
      <c r="B23" s="9" t="s">
        <v>26</v>
      </c>
      <c r="C23" s="9">
        <v>0.044</v>
      </c>
      <c r="D23" s="9">
        <v>0.044</v>
      </c>
      <c r="E23" s="9">
        <v>0.042</v>
      </c>
    </row>
    <row r="24" spans="1:5">
      <c r="A24" s="64"/>
      <c r="B24" s="9" t="s">
        <v>27</v>
      </c>
      <c r="C24" s="9">
        <v>0.02</v>
      </c>
      <c r="D24" s="9">
        <v>0.018</v>
      </c>
      <c r="E24" s="9">
        <v>0.022</v>
      </c>
    </row>
    <row r="25" spans="1:5">
      <c r="A25" s="64"/>
      <c r="B25" s="9" t="s">
        <v>28</v>
      </c>
      <c r="C25" s="9">
        <v>0.028</v>
      </c>
      <c r="D25" s="9">
        <v>0.032</v>
      </c>
      <c r="E25" s="9">
        <v>0.042</v>
      </c>
    </row>
  </sheetData>
  <mergeCells count="3">
    <mergeCell ref="C1:E1"/>
    <mergeCell ref="A2:A18"/>
    <mergeCell ref="A19:A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L37" sqref="L37"/>
    </sheetView>
  </sheetViews>
  <sheetFormatPr defaultColWidth="8.72727272727273" defaultRowHeight="14" outlineLevelCol="4"/>
  <cols>
    <col min="1" max="1" width="13.9090909090909" customWidth="1"/>
    <col min="3" max="5" width="10.2727272727273" customWidth="1"/>
  </cols>
  <sheetData>
    <row r="1" ht="17.5" spans="1:5">
      <c r="A1" s="9" t="s">
        <v>0</v>
      </c>
      <c r="B1" s="9" t="s">
        <v>1</v>
      </c>
      <c r="C1" s="55" t="s">
        <v>30</v>
      </c>
      <c r="D1" s="55"/>
      <c r="E1" s="55"/>
    </row>
    <row r="2" spans="1:5">
      <c r="A2" s="63" t="s">
        <v>3</v>
      </c>
      <c r="B2" s="9" t="s">
        <v>4</v>
      </c>
      <c r="C2" s="65">
        <v>17.959</v>
      </c>
      <c r="D2" s="65">
        <v>39.447</v>
      </c>
      <c r="E2" s="65">
        <v>24.025</v>
      </c>
    </row>
    <row r="3" spans="1:5">
      <c r="A3" s="63"/>
      <c r="B3" s="9" t="s">
        <v>5</v>
      </c>
      <c r="C3" s="65">
        <v>24.518</v>
      </c>
      <c r="D3" s="65">
        <v>31.706</v>
      </c>
      <c r="E3" s="65">
        <v>66.571</v>
      </c>
    </row>
    <row r="4" spans="1:5">
      <c r="A4" s="63"/>
      <c r="B4" s="9" t="s">
        <v>6</v>
      </c>
      <c r="C4" s="65">
        <v>18.844</v>
      </c>
      <c r="D4" s="65">
        <v>2.305</v>
      </c>
      <c r="E4" s="65">
        <v>2.185</v>
      </c>
    </row>
    <row r="5" spans="1:5">
      <c r="A5" s="63"/>
      <c r="B5" s="9" t="s">
        <v>7</v>
      </c>
      <c r="C5" s="65">
        <v>210.985</v>
      </c>
      <c r="D5" s="65">
        <v>350.261</v>
      </c>
      <c r="E5" s="65">
        <v>61.356</v>
      </c>
    </row>
    <row r="6" spans="1:5">
      <c r="A6" s="63"/>
      <c r="B6" s="9" t="s">
        <v>8</v>
      </c>
      <c r="C6" s="65">
        <v>37.98</v>
      </c>
      <c r="D6" s="65">
        <v>175.472</v>
      </c>
      <c r="E6" s="65">
        <v>131.362</v>
      </c>
    </row>
    <row r="7" spans="1:5">
      <c r="A7" s="63"/>
      <c r="B7" s="9" t="s">
        <v>9</v>
      </c>
      <c r="C7" s="9">
        <v>3.005</v>
      </c>
      <c r="D7" s="9">
        <v>1.066</v>
      </c>
      <c r="E7" s="9">
        <v>1.153</v>
      </c>
    </row>
    <row r="8" spans="1:5">
      <c r="A8" s="63"/>
      <c r="B8" s="9" t="s">
        <v>10</v>
      </c>
      <c r="C8" s="9">
        <v>94.069</v>
      </c>
      <c r="D8" s="9">
        <v>70.773</v>
      </c>
      <c r="E8" s="9">
        <v>74.874</v>
      </c>
    </row>
    <row r="9" spans="1:5">
      <c r="A9" s="63"/>
      <c r="B9" s="9" t="s">
        <v>11</v>
      </c>
      <c r="C9" s="9">
        <v>133.793</v>
      </c>
      <c r="D9" s="9">
        <v>145.085</v>
      </c>
      <c r="E9" s="9">
        <v>378.161</v>
      </c>
    </row>
    <row r="10" spans="1:5">
      <c r="A10" s="63"/>
      <c r="B10" s="9" t="s">
        <v>12</v>
      </c>
      <c r="C10" s="9">
        <v>0.716</v>
      </c>
      <c r="D10" s="9">
        <v>1.926</v>
      </c>
      <c r="E10" s="9">
        <v>0.076</v>
      </c>
    </row>
    <row r="11" spans="1:5">
      <c r="A11" s="63"/>
      <c r="B11" s="9" t="s">
        <v>13</v>
      </c>
      <c r="C11" s="9">
        <v>10.458</v>
      </c>
      <c r="D11" s="9">
        <v>10.485</v>
      </c>
      <c r="E11" s="9">
        <v>5.327</v>
      </c>
    </row>
    <row r="12" spans="1:5">
      <c r="A12" s="63"/>
      <c r="B12" s="9" t="s">
        <v>14</v>
      </c>
      <c r="C12" s="9">
        <v>0.659</v>
      </c>
      <c r="D12" s="9">
        <v>2.465</v>
      </c>
      <c r="E12" s="9">
        <v>5.34</v>
      </c>
    </row>
    <row r="13" spans="1:5">
      <c r="A13" s="63"/>
      <c r="B13" s="9" t="s">
        <v>15</v>
      </c>
      <c r="C13" s="9">
        <v>9.718</v>
      </c>
      <c r="D13" s="9">
        <v>8.761</v>
      </c>
      <c r="E13" s="9">
        <v>7.806</v>
      </c>
    </row>
    <row r="14" spans="1:5">
      <c r="A14" s="63"/>
      <c r="B14" s="9" t="s">
        <v>16</v>
      </c>
      <c r="C14" s="9">
        <v>2.405</v>
      </c>
      <c r="D14" s="9">
        <v>1.071</v>
      </c>
      <c r="E14" s="9">
        <v>0.925</v>
      </c>
    </row>
    <row r="15" spans="1:5">
      <c r="A15" s="63"/>
      <c r="B15" s="9" t="s">
        <v>17</v>
      </c>
      <c r="C15" s="9">
        <v>24.946</v>
      </c>
      <c r="D15" s="9">
        <v>85.646</v>
      </c>
      <c r="E15" s="9">
        <v>29.986</v>
      </c>
    </row>
    <row r="16" spans="1:5">
      <c r="A16" s="63"/>
      <c r="B16" s="9" t="s">
        <v>18</v>
      </c>
      <c r="C16" s="9">
        <v>11.798</v>
      </c>
      <c r="D16" s="9">
        <v>43.778</v>
      </c>
      <c r="E16" s="9">
        <v>16.419</v>
      </c>
    </row>
    <row r="17" spans="1:5">
      <c r="A17" s="63"/>
      <c r="B17" s="9" t="s">
        <v>19</v>
      </c>
      <c r="C17" s="9">
        <v>197.869</v>
      </c>
      <c r="D17" s="9">
        <v>222.071</v>
      </c>
      <c r="E17" s="9">
        <v>252.965</v>
      </c>
    </row>
    <row r="18" spans="1:5">
      <c r="A18" s="63"/>
      <c r="B18" s="9" t="s">
        <v>20</v>
      </c>
      <c r="C18" s="9">
        <v>58.989</v>
      </c>
      <c r="D18" s="9">
        <v>50.746</v>
      </c>
      <c r="E18" s="9">
        <v>42.677</v>
      </c>
    </row>
    <row r="19" spans="1:5">
      <c r="A19" s="64" t="s">
        <v>21</v>
      </c>
      <c r="B19" s="9" t="s">
        <v>22</v>
      </c>
      <c r="C19" s="65">
        <v>0.857</v>
      </c>
      <c r="D19" s="65">
        <v>0.359</v>
      </c>
      <c r="E19" s="65">
        <v>0.202</v>
      </c>
    </row>
    <row r="20" spans="1:5">
      <c r="A20" s="64"/>
      <c r="B20" s="9" t="s">
        <v>23</v>
      </c>
      <c r="C20" s="65">
        <v>16.723</v>
      </c>
      <c r="D20" s="65">
        <v>21.096</v>
      </c>
      <c r="E20" s="65">
        <v>10.593</v>
      </c>
    </row>
    <row r="21" spans="1:5">
      <c r="A21" s="64"/>
      <c r="B21" s="9" t="s">
        <v>24</v>
      </c>
      <c r="C21" s="65">
        <v>1.868</v>
      </c>
      <c r="D21" s="65">
        <v>1.989</v>
      </c>
      <c r="E21" s="65">
        <v>1.281</v>
      </c>
    </row>
    <row r="22" spans="1:5">
      <c r="A22" s="64"/>
      <c r="B22" s="9" t="s">
        <v>25</v>
      </c>
      <c r="C22" s="65">
        <v>18.29</v>
      </c>
      <c r="D22" s="65">
        <v>14.282</v>
      </c>
      <c r="E22" s="65">
        <v>10.677</v>
      </c>
    </row>
    <row r="23" spans="1:5">
      <c r="A23" s="64"/>
      <c r="B23" s="9" t="s">
        <v>26</v>
      </c>
      <c r="C23" s="65">
        <v>8.712</v>
      </c>
      <c r="D23" s="65">
        <v>5.39</v>
      </c>
      <c r="E23" s="65">
        <v>4.275</v>
      </c>
    </row>
    <row r="24" spans="1:5">
      <c r="A24" s="64"/>
      <c r="B24" s="9" t="s">
        <v>27</v>
      </c>
      <c r="C24" s="9">
        <v>1.389</v>
      </c>
      <c r="D24" s="9">
        <v>3.811</v>
      </c>
      <c r="E24" s="9">
        <v>1.114</v>
      </c>
    </row>
    <row r="25" spans="1:5">
      <c r="A25" s="64"/>
      <c r="B25" s="9" t="s">
        <v>28</v>
      </c>
      <c r="C25" s="9">
        <v>0.042</v>
      </c>
      <c r="D25" s="9">
        <v>0.021</v>
      </c>
      <c r="E25" s="9">
        <v>0.019</v>
      </c>
    </row>
  </sheetData>
  <mergeCells count="3">
    <mergeCell ref="C1:E1"/>
    <mergeCell ref="A2:A18"/>
    <mergeCell ref="A19:A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L37" sqref="L37"/>
    </sheetView>
  </sheetViews>
  <sheetFormatPr defaultColWidth="8.72727272727273" defaultRowHeight="14" outlineLevelCol="4"/>
  <cols>
    <col min="3" max="5" width="10.9090909090909" customWidth="1"/>
    <col min="7" max="7" width="12.8181818181818"/>
  </cols>
  <sheetData>
    <row r="1" ht="17.5" spans="1:5">
      <c r="A1" s="9" t="s">
        <v>0</v>
      </c>
      <c r="B1" s="9" t="s">
        <v>1</v>
      </c>
      <c r="C1" s="53" t="s">
        <v>31</v>
      </c>
      <c r="D1" s="53"/>
      <c r="E1" s="53"/>
    </row>
    <row r="2" spans="1:5">
      <c r="A2" s="63" t="s">
        <v>3</v>
      </c>
      <c r="B2" s="9" t="s">
        <v>4</v>
      </c>
      <c r="C2" s="9">
        <v>15.305</v>
      </c>
      <c r="D2" s="9">
        <v>20.624</v>
      </c>
      <c r="E2" s="9">
        <v>16.798</v>
      </c>
    </row>
    <row r="3" spans="1:5">
      <c r="A3" s="63"/>
      <c r="B3" s="9" t="s">
        <v>5</v>
      </c>
      <c r="C3" s="9">
        <v>33.503</v>
      </c>
      <c r="D3" s="9">
        <v>35.836</v>
      </c>
      <c r="E3" s="9">
        <v>54.22</v>
      </c>
    </row>
    <row r="4" spans="1:5">
      <c r="A4" s="63"/>
      <c r="B4" s="9" t="s">
        <v>6</v>
      </c>
      <c r="C4" s="9">
        <v>30.516</v>
      </c>
      <c r="D4" s="9">
        <v>14.745</v>
      </c>
      <c r="E4" s="9">
        <v>14.558</v>
      </c>
    </row>
    <row r="5" spans="1:5">
      <c r="A5" s="63"/>
      <c r="B5" s="9" t="s">
        <v>7</v>
      </c>
      <c r="C5" s="9">
        <v>36.256</v>
      </c>
      <c r="D5" s="9">
        <v>55.62</v>
      </c>
      <c r="E5" s="9">
        <v>18.431</v>
      </c>
    </row>
    <row r="6" spans="1:5">
      <c r="A6" s="63"/>
      <c r="B6" s="9" t="s">
        <v>8</v>
      </c>
      <c r="C6" s="9">
        <v>15.212</v>
      </c>
      <c r="D6" s="9">
        <v>24.404</v>
      </c>
      <c r="E6" s="9">
        <v>19.831</v>
      </c>
    </row>
    <row r="7" spans="1:5">
      <c r="A7" s="63"/>
      <c r="B7" s="9" t="s">
        <v>9</v>
      </c>
      <c r="C7" s="9">
        <v>18.431</v>
      </c>
      <c r="D7" s="9">
        <v>15.958</v>
      </c>
      <c r="E7" s="9">
        <v>14.885</v>
      </c>
    </row>
    <row r="8" spans="1:5">
      <c r="A8" s="63"/>
      <c r="B8" s="9" t="s">
        <v>10</v>
      </c>
      <c r="C8" s="9">
        <v>56.647</v>
      </c>
      <c r="D8" s="9">
        <v>44.701</v>
      </c>
      <c r="E8" s="9">
        <v>45.495</v>
      </c>
    </row>
    <row r="9" spans="1:5">
      <c r="A9" s="63"/>
      <c r="B9" s="9" t="s">
        <v>11</v>
      </c>
      <c r="C9" s="9">
        <v>37.889</v>
      </c>
      <c r="D9" s="9">
        <v>37.656</v>
      </c>
      <c r="E9" s="9">
        <v>70.225</v>
      </c>
    </row>
    <row r="10" spans="1:5">
      <c r="A10" s="63"/>
      <c r="B10" s="9" t="s">
        <v>12</v>
      </c>
      <c r="C10" s="9">
        <v>15.072</v>
      </c>
      <c r="D10" s="9">
        <v>17.405</v>
      </c>
      <c r="E10" s="9">
        <v>14.512</v>
      </c>
    </row>
    <row r="11" spans="1:5">
      <c r="A11" s="63"/>
      <c r="B11" s="9" t="s">
        <v>13</v>
      </c>
      <c r="C11" s="9">
        <v>15.258</v>
      </c>
      <c r="D11" s="9">
        <v>16.051</v>
      </c>
      <c r="E11" s="9">
        <v>15.258</v>
      </c>
    </row>
    <row r="12" spans="1:5">
      <c r="A12" s="63"/>
      <c r="B12" s="9" t="s">
        <v>14</v>
      </c>
      <c r="C12" s="9">
        <v>13.298</v>
      </c>
      <c r="D12" s="9">
        <v>17.918</v>
      </c>
      <c r="E12" s="9">
        <v>25.29</v>
      </c>
    </row>
    <row r="13" spans="1:5">
      <c r="A13" s="63"/>
      <c r="B13" s="9" t="s">
        <v>15</v>
      </c>
      <c r="C13" s="9">
        <v>15.631</v>
      </c>
      <c r="D13" s="9">
        <v>15.072</v>
      </c>
      <c r="E13" s="9">
        <v>14.512</v>
      </c>
    </row>
    <row r="14" spans="1:5">
      <c r="A14" s="63"/>
      <c r="B14" s="9" t="s">
        <v>16</v>
      </c>
      <c r="C14" s="9">
        <v>24.497</v>
      </c>
      <c r="D14" s="9">
        <v>16.331</v>
      </c>
      <c r="E14" s="9">
        <v>14.838</v>
      </c>
    </row>
    <row r="15" spans="1:5">
      <c r="A15" s="63"/>
      <c r="B15" s="9" t="s">
        <v>17</v>
      </c>
      <c r="C15" s="9">
        <v>15.865</v>
      </c>
      <c r="D15" s="9">
        <v>25.757</v>
      </c>
      <c r="E15" s="9">
        <v>17.031</v>
      </c>
    </row>
    <row r="16" spans="1:5">
      <c r="A16" s="63"/>
      <c r="B16" s="9" t="s">
        <v>18</v>
      </c>
      <c r="C16" s="9">
        <v>15.352</v>
      </c>
      <c r="D16" s="9">
        <v>23.844</v>
      </c>
      <c r="E16" s="9">
        <v>17.451</v>
      </c>
    </row>
    <row r="17" spans="1:5">
      <c r="A17" s="63"/>
      <c r="B17" s="9" t="s">
        <v>19</v>
      </c>
      <c r="C17" s="9">
        <v>81.33</v>
      </c>
      <c r="D17" s="9">
        <v>84.317</v>
      </c>
      <c r="E17" s="9">
        <v>88.656</v>
      </c>
    </row>
    <row r="18" spans="1:5">
      <c r="A18" s="63"/>
      <c r="B18" s="9" t="s">
        <v>20</v>
      </c>
      <c r="C18" s="9">
        <v>18.431</v>
      </c>
      <c r="D18" s="9">
        <v>18.011</v>
      </c>
      <c r="E18" s="9">
        <v>17.545</v>
      </c>
    </row>
    <row r="19" spans="1:5">
      <c r="A19" s="64" t="s">
        <v>21</v>
      </c>
      <c r="B19" s="9" t="s">
        <v>22</v>
      </c>
      <c r="C19" s="9">
        <v>16.098</v>
      </c>
      <c r="D19" s="9">
        <v>15.072</v>
      </c>
      <c r="E19" s="9">
        <v>15.911</v>
      </c>
    </row>
    <row r="20" spans="1:5">
      <c r="A20" s="64"/>
      <c r="B20" s="9" t="s">
        <v>23</v>
      </c>
      <c r="C20" s="9">
        <v>15.538</v>
      </c>
      <c r="D20" s="9">
        <v>15.865</v>
      </c>
      <c r="E20" s="9">
        <v>14.978</v>
      </c>
    </row>
    <row r="21" spans="1:5">
      <c r="A21" s="64"/>
      <c r="B21" s="9" t="s">
        <v>24</v>
      </c>
      <c r="C21" s="9">
        <v>12.505</v>
      </c>
      <c r="D21" s="9">
        <v>12.645</v>
      </c>
      <c r="E21" s="9">
        <v>11.572</v>
      </c>
    </row>
    <row r="22" spans="1:5">
      <c r="A22" s="64"/>
      <c r="B22" s="9" t="s">
        <v>25</v>
      </c>
      <c r="C22" s="9">
        <v>13.298</v>
      </c>
      <c r="D22" s="9">
        <v>12.972</v>
      </c>
      <c r="E22" s="9">
        <v>12.645</v>
      </c>
    </row>
    <row r="23" spans="1:5">
      <c r="A23" s="64"/>
      <c r="B23" s="9" t="s">
        <v>26</v>
      </c>
      <c r="C23" s="9">
        <v>16.471</v>
      </c>
      <c r="D23" s="9">
        <v>14.138</v>
      </c>
      <c r="E23" s="9">
        <v>13.392</v>
      </c>
    </row>
    <row r="24" spans="1:5">
      <c r="A24" s="64"/>
      <c r="B24" s="9" t="s">
        <v>27</v>
      </c>
      <c r="C24" s="9">
        <v>12.505</v>
      </c>
      <c r="D24" s="9">
        <v>13.672</v>
      </c>
      <c r="E24" s="9">
        <v>12.365</v>
      </c>
    </row>
    <row r="25" spans="1:5">
      <c r="A25" s="64"/>
      <c r="B25" s="9" t="s">
        <v>28</v>
      </c>
      <c r="C25" s="9">
        <v>14.232</v>
      </c>
      <c r="D25" s="9">
        <v>12.179</v>
      </c>
      <c r="E25" s="9">
        <v>12.039</v>
      </c>
    </row>
  </sheetData>
  <mergeCells count="3">
    <mergeCell ref="C1:E1"/>
    <mergeCell ref="A2:A18"/>
    <mergeCell ref="A19:A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N3" sqref="N3"/>
    </sheetView>
  </sheetViews>
  <sheetFormatPr defaultColWidth="8.72727272727273" defaultRowHeight="14" outlineLevelCol="4"/>
  <cols>
    <col min="3" max="5" width="11.4545454545455" customWidth="1"/>
  </cols>
  <sheetData>
    <row r="1" spans="1:5">
      <c r="A1" s="9" t="s">
        <v>0</v>
      </c>
      <c r="B1" s="9" t="s">
        <v>32</v>
      </c>
      <c r="C1" s="53" t="s">
        <v>33</v>
      </c>
      <c r="D1" s="53"/>
      <c r="E1" s="53"/>
    </row>
    <row r="2" spans="1:5">
      <c r="A2" s="63" t="s">
        <v>3</v>
      </c>
      <c r="B2" s="61" t="s">
        <v>4</v>
      </c>
      <c r="C2" s="9">
        <v>1.36</v>
      </c>
      <c r="D2" s="9">
        <v>1.97</v>
      </c>
      <c r="E2" s="9">
        <v>1.56</v>
      </c>
    </row>
    <row r="3" spans="1:5">
      <c r="A3" s="63"/>
      <c r="B3" s="61" t="s">
        <v>5</v>
      </c>
      <c r="C3" s="9">
        <v>3.77</v>
      </c>
      <c r="D3" s="9">
        <v>3.81</v>
      </c>
      <c r="E3" s="9">
        <v>2.72</v>
      </c>
    </row>
    <row r="4" spans="1:5">
      <c r="A4" s="63"/>
      <c r="B4" s="61" t="s">
        <v>6</v>
      </c>
      <c r="C4" s="9">
        <v>0.97</v>
      </c>
      <c r="D4" s="9">
        <v>1.37</v>
      </c>
      <c r="E4" s="9">
        <v>1.43</v>
      </c>
    </row>
    <row r="5" spans="1:5">
      <c r="A5" s="63"/>
      <c r="B5" s="61" t="s">
        <v>7</v>
      </c>
      <c r="C5" s="9">
        <v>2.17</v>
      </c>
      <c r="D5" s="9">
        <v>3.42</v>
      </c>
      <c r="E5" s="9">
        <v>2.05</v>
      </c>
    </row>
    <row r="6" spans="1:5">
      <c r="A6" s="63"/>
      <c r="B6" s="61" t="s">
        <v>8</v>
      </c>
      <c r="C6" s="9">
        <v>1.73</v>
      </c>
      <c r="D6" s="9">
        <v>1.58</v>
      </c>
      <c r="E6" s="9">
        <v>2.28</v>
      </c>
    </row>
    <row r="7" spans="1:5">
      <c r="A7" s="64" t="s">
        <v>21</v>
      </c>
      <c r="B7" s="61" t="s">
        <v>22</v>
      </c>
      <c r="C7" s="9">
        <v>1.54</v>
      </c>
      <c r="D7" s="9">
        <v>1.18</v>
      </c>
      <c r="E7" s="9">
        <v>1.94</v>
      </c>
    </row>
    <row r="8" spans="1:5">
      <c r="A8" s="64"/>
      <c r="B8" s="61" t="s">
        <v>23</v>
      </c>
      <c r="C8" s="9">
        <v>1.02</v>
      </c>
      <c r="D8" s="9">
        <v>0.85</v>
      </c>
      <c r="E8" s="9">
        <v>1.47</v>
      </c>
    </row>
    <row r="9" spans="1:5">
      <c r="A9" s="64"/>
      <c r="B9" s="61" t="s">
        <v>24</v>
      </c>
      <c r="C9" s="9">
        <v>1.15</v>
      </c>
      <c r="D9" s="9">
        <v>0.91</v>
      </c>
      <c r="E9" s="9">
        <v>0.87</v>
      </c>
    </row>
    <row r="10" spans="1:5">
      <c r="A10" s="64"/>
      <c r="B10" s="61" t="s">
        <v>25</v>
      </c>
      <c r="C10" s="9">
        <v>1.33</v>
      </c>
      <c r="D10" s="9">
        <v>1.57</v>
      </c>
      <c r="E10" s="9">
        <v>1.42</v>
      </c>
    </row>
    <row r="11" spans="1:5">
      <c r="A11" s="64"/>
      <c r="B11" s="61" t="s">
        <v>26</v>
      </c>
      <c r="C11" s="9">
        <v>0.87</v>
      </c>
      <c r="D11" s="9">
        <v>0.95</v>
      </c>
      <c r="E11" s="9">
        <v>1.08</v>
      </c>
    </row>
  </sheetData>
  <mergeCells count="3">
    <mergeCell ref="C1:E1"/>
    <mergeCell ref="A2:A6"/>
    <mergeCell ref="A7:A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N3" sqref="N3"/>
    </sheetView>
  </sheetViews>
  <sheetFormatPr defaultColWidth="8.72727272727273" defaultRowHeight="14"/>
  <sheetData>
    <row r="1" spans="1:11">
      <c r="A1" s="10"/>
      <c r="B1" s="9" t="s">
        <v>34</v>
      </c>
      <c r="C1" s="53" t="s">
        <v>35</v>
      </c>
      <c r="D1" s="53"/>
      <c r="E1" s="53"/>
      <c r="F1" s="53" t="s">
        <v>36</v>
      </c>
      <c r="G1" s="53"/>
      <c r="H1" s="53"/>
      <c r="I1" s="53" t="s">
        <v>37</v>
      </c>
      <c r="J1" s="53"/>
      <c r="K1" s="53"/>
    </row>
    <row r="2" spans="1:11">
      <c r="A2" s="63" t="s">
        <v>3</v>
      </c>
      <c r="B2" s="9">
        <v>7.5</v>
      </c>
      <c r="C2" s="54">
        <v>29500000</v>
      </c>
      <c r="D2" s="54">
        <v>24200000</v>
      </c>
      <c r="E2" s="54">
        <v>29500000</v>
      </c>
      <c r="F2" s="54">
        <v>4840000</v>
      </c>
      <c r="G2" s="54">
        <v>5760000</v>
      </c>
      <c r="H2" s="54">
        <v>4920000</v>
      </c>
      <c r="I2" s="54">
        <v>112000000</v>
      </c>
      <c r="J2" s="54">
        <v>281000000</v>
      </c>
      <c r="K2" s="54">
        <v>190000000</v>
      </c>
    </row>
    <row r="3" spans="1:11">
      <c r="A3" s="63"/>
      <c r="B3" s="9">
        <v>7.7</v>
      </c>
      <c r="C3" s="54">
        <v>179000000</v>
      </c>
      <c r="D3" s="54">
        <v>132000000</v>
      </c>
      <c r="E3" s="54">
        <v>161000000</v>
      </c>
      <c r="F3" s="54">
        <v>18100000</v>
      </c>
      <c r="G3" s="54">
        <v>29200000</v>
      </c>
      <c r="H3" s="54">
        <v>25600000</v>
      </c>
      <c r="I3" s="54">
        <v>881000000</v>
      </c>
      <c r="J3" s="54">
        <v>682000000</v>
      </c>
      <c r="K3" s="54">
        <v>562000000</v>
      </c>
    </row>
    <row r="4" spans="1:11">
      <c r="A4" s="63"/>
      <c r="B4" s="9">
        <v>7.9</v>
      </c>
      <c r="C4" s="54">
        <v>574000000</v>
      </c>
      <c r="D4" s="54">
        <v>552000000</v>
      </c>
      <c r="E4" s="54">
        <v>473000000</v>
      </c>
      <c r="F4" s="54">
        <v>35000000</v>
      </c>
      <c r="G4" s="54">
        <v>17000000</v>
      </c>
      <c r="H4" s="54">
        <v>62600000</v>
      </c>
      <c r="I4" s="54">
        <v>521000000</v>
      </c>
      <c r="J4" s="54">
        <v>714000000</v>
      </c>
      <c r="K4" s="54">
        <v>611000000</v>
      </c>
    </row>
    <row r="5" spans="1:11">
      <c r="A5" s="63"/>
      <c r="B5" s="9">
        <v>7.9</v>
      </c>
      <c r="C5" s="54">
        <v>42600000</v>
      </c>
      <c r="D5" s="54">
        <v>50000000</v>
      </c>
      <c r="E5" s="54">
        <v>47900000</v>
      </c>
      <c r="F5" s="54">
        <v>59100000</v>
      </c>
      <c r="G5" s="54">
        <v>62300000</v>
      </c>
      <c r="H5" s="54">
        <v>50300000</v>
      </c>
      <c r="I5" s="54">
        <v>160000000</v>
      </c>
      <c r="J5" s="54">
        <v>150000000</v>
      </c>
      <c r="K5" s="54">
        <v>166000000</v>
      </c>
    </row>
    <row r="6" spans="1:11">
      <c r="A6" s="63"/>
      <c r="B6" s="9">
        <v>7.9</v>
      </c>
      <c r="C6" s="54">
        <v>1830000000</v>
      </c>
      <c r="D6" s="54">
        <v>1830000000</v>
      </c>
      <c r="E6" s="54">
        <v>1710000000</v>
      </c>
      <c r="F6" s="54">
        <v>38500000</v>
      </c>
      <c r="G6" s="54">
        <v>57300000</v>
      </c>
      <c r="H6" s="54">
        <v>39000000</v>
      </c>
      <c r="I6" s="54">
        <v>6710000000</v>
      </c>
      <c r="J6" s="54">
        <v>6730000000</v>
      </c>
      <c r="K6" s="54">
        <v>6530000000</v>
      </c>
    </row>
    <row r="7" spans="1:11">
      <c r="A7" s="63"/>
      <c r="B7" s="9">
        <v>8</v>
      </c>
      <c r="C7" s="54">
        <v>27100000</v>
      </c>
      <c r="D7" s="54">
        <v>25700000</v>
      </c>
      <c r="E7" s="54">
        <v>29500000</v>
      </c>
      <c r="F7" s="54">
        <v>65800000</v>
      </c>
      <c r="G7" s="54">
        <v>75400000</v>
      </c>
      <c r="H7" s="54">
        <v>87600000</v>
      </c>
      <c r="I7" s="54">
        <v>119000000</v>
      </c>
      <c r="J7" s="54">
        <v>218000000</v>
      </c>
      <c r="K7" s="54">
        <v>287000000</v>
      </c>
    </row>
    <row r="8" spans="1:11">
      <c r="A8" s="63"/>
      <c r="B8" s="9">
        <v>8.1</v>
      </c>
      <c r="C8" s="54">
        <v>142000000</v>
      </c>
      <c r="D8" s="54">
        <v>93600000</v>
      </c>
      <c r="E8" s="54">
        <v>142000000</v>
      </c>
      <c r="F8" s="54">
        <v>51300000</v>
      </c>
      <c r="G8" s="54">
        <v>72300000</v>
      </c>
      <c r="H8" s="54">
        <v>81700000</v>
      </c>
      <c r="I8" s="54">
        <v>904000000</v>
      </c>
      <c r="J8" s="54">
        <v>714000000</v>
      </c>
      <c r="K8" s="54">
        <v>697000000</v>
      </c>
    </row>
    <row r="9" spans="1:11">
      <c r="A9" s="63"/>
      <c r="B9" s="9">
        <v>8.1</v>
      </c>
      <c r="C9" s="54">
        <v>293000000</v>
      </c>
      <c r="D9" s="54">
        <v>295000000</v>
      </c>
      <c r="E9" s="54">
        <v>397000000</v>
      </c>
      <c r="F9" s="54">
        <v>40100000</v>
      </c>
      <c r="G9" s="54">
        <v>19200000</v>
      </c>
      <c r="H9" s="54">
        <v>34600000</v>
      </c>
      <c r="I9" s="54">
        <v>623000000</v>
      </c>
      <c r="J9" s="54">
        <v>620000000</v>
      </c>
      <c r="K9" s="54">
        <v>644000000</v>
      </c>
    </row>
    <row r="10" spans="1:11">
      <c r="A10" s="63"/>
      <c r="B10" s="9">
        <v>8.1</v>
      </c>
      <c r="C10" s="54">
        <v>76200000</v>
      </c>
      <c r="D10" s="54">
        <v>95700000</v>
      </c>
      <c r="E10" s="54">
        <v>121000000</v>
      </c>
      <c r="F10" s="54">
        <v>33000000</v>
      </c>
      <c r="G10" s="54">
        <v>31500000</v>
      </c>
      <c r="H10" s="54">
        <v>24900000</v>
      </c>
      <c r="I10" s="54">
        <v>89900000</v>
      </c>
      <c r="J10" s="54">
        <v>96000000</v>
      </c>
      <c r="K10" s="54">
        <v>105000000</v>
      </c>
    </row>
    <row r="11" spans="1:11">
      <c r="A11" s="63"/>
      <c r="B11" s="9">
        <v>8.1</v>
      </c>
      <c r="C11" s="54">
        <v>61800000</v>
      </c>
      <c r="D11" s="54">
        <v>56400000</v>
      </c>
      <c r="E11" s="54">
        <v>61000000</v>
      </c>
      <c r="F11" s="54">
        <v>13400000</v>
      </c>
      <c r="G11" s="54">
        <v>48300000</v>
      </c>
      <c r="H11" s="54">
        <v>21500000</v>
      </c>
      <c r="I11" s="54">
        <v>111000000</v>
      </c>
      <c r="J11" s="54">
        <v>104000000</v>
      </c>
      <c r="K11" s="54">
        <v>107000000</v>
      </c>
    </row>
    <row r="12" spans="1:11">
      <c r="A12" s="63"/>
      <c r="B12" s="9">
        <v>8.2</v>
      </c>
      <c r="C12" s="54">
        <v>55100000</v>
      </c>
      <c r="D12" s="54">
        <v>69400000</v>
      </c>
      <c r="E12" s="54">
        <v>69900000</v>
      </c>
      <c r="F12" s="54">
        <v>36800000</v>
      </c>
      <c r="G12" s="54">
        <v>36600000</v>
      </c>
      <c r="H12" s="54">
        <v>33600000</v>
      </c>
      <c r="I12" s="54">
        <v>65100000</v>
      </c>
      <c r="J12" s="54">
        <v>93000000</v>
      </c>
      <c r="K12" s="54">
        <v>62800000</v>
      </c>
    </row>
    <row r="13" spans="1:11">
      <c r="A13" s="63"/>
      <c r="B13" s="9">
        <v>8.2</v>
      </c>
      <c r="C13" s="54">
        <v>634000000</v>
      </c>
      <c r="D13" s="54">
        <v>638000000</v>
      </c>
      <c r="E13" s="54">
        <v>590000000</v>
      </c>
      <c r="F13" s="54">
        <v>10300000</v>
      </c>
      <c r="G13" s="54">
        <v>10500000</v>
      </c>
      <c r="H13" s="54">
        <v>9740000</v>
      </c>
      <c r="I13" s="54">
        <v>753000000</v>
      </c>
      <c r="J13" s="54">
        <v>545000000</v>
      </c>
      <c r="K13" s="54">
        <v>842000000</v>
      </c>
    </row>
    <row r="14" spans="1:11">
      <c r="A14" s="63"/>
      <c r="B14" s="9">
        <v>8.2</v>
      </c>
      <c r="C14" s="54">
        <v>531000000</v>
      </c>
      <c r="D14" s="54">
        <v>483000000</v>
      </c>
      <c r="E14" s="54">
        <v>371000000</v>
      </c>
      <c r="F14" s="54">
        <v>27200000</v>
      </c>
      <c r="G14" s="54">
        <v>6270000</v>
      </c>
      <c r="H14" s="54">
        <v>5360000</v>
      </c>
      <c r="I14" s="54">
        <v>746000000</v>
      </c>
      <c r="J14" s="54">
        <v>917000000</v>
      </c>
      <c r="K14" s="54">
        <v>1130000000</v>
      </c>
    </row>
    <row r="15" spans="1:11">
      <c r="A15" s="63"/>
      <c r="B15" s="9">
        <v>8.3</v>
      </c>
      <c r="C15" s="54">
        <v>78500000</v>
      </c>
      <c r="D15" s="54">
        <v>90700000</v>
      </c>
      <c r="E15" s="54">
        <v>112000000</v>
      </c>
      <c r="F15" s="54">
        <v>11900000</v>
      </c>
      <c r="G15" s="54">
        <v>12800000</v>
      </c>
      <c r="H15" s="54">
        <v>9150000</v>
      </c>
      <c r="I15" s="54">
        <v>112000000</v>
      </c>
      <c r="J15" s="54">
        <v>92600000</v>
      </c>
      <c r="K15" s="54">
        <v>126000000</v>
      </c>
    </row>
    <row r="16" spans="1:11">
      <c r="A16" s="63"/>
      <c r="B16" s="9">
        <v>8.3</v>
      </c>
      <c r="C16" s="54">
        <v>82100000</v>
      </c>
      <c r="D16" s="54">
        <v>80700000</v>
      </c>
      <c r="E16" s="54">
        <v>121000000</v>
      </c>
      <c r="F16" s="54">
        <v>10300000</v>
      </c>
      <c r="G16" s="54">
        <v>8820000</v>
      </c>
      <c r="H16" s="54">
        <v>14300000</v>
      </c>
      <c r="I16" s="54">
        <v>74200000</v>
      </c>
      <c r="J16" s="54">
        <v>66400000</v>
      </c>
      <c r="K16" s="54">
        <v>83400000</v>
      </c>
    </row>
    <row r="17" spans="1:11">
      <c r="A17" s="63"/>
      <c r="B17" s="9">
        <v>8.4</v>
      </c>
      <c r="C17" s="54">
        <v>308000000</v>
      </c>
      <c r="D17" s="54">
        <v>304000000</v>
      </c>
      <c r="E17" s="54">
        <v>295000000</v>
      </c>
      <c r="F17" s="54">
        <v>8620000</v>
      </c>
      <c r="G17" s="54">
        <v>9460000</v>
      </c>
      <c r="H17" s="54">
        <v>15200000</v>
      </c>
      <c r="I17" s="54">
        <v>835000000</v>
      </c>
      <c r="J17" s="54">
        <v>953000000</v>
      </c>
      <c r="K17" s="54">
        <v>710000000</v>
      </c>
    </row>
    <row r="18" spans="1:11">
      <c r="A18" s="63"/>
      <c r="B18" s="9">
        <v>8.4</v>
      </c>
      <c r="C18" s="54">
        <v>122000000</v>
      </c>
      <c r="D18" s="54">
        <v>83300000</v>
      </c>
      <c r="E18" s="54">
        <v>82700000</v>
      </c>
      <c r="F18" s="54">
        <v>2870000</v>
      </c>
      <c r="G18" s="54">
        <v>3870000</v>
      </c>
      <c r="H18" s="54">
        <v>7650000</v>
      </c>
      <c r="I18" s="54">
        <v>48400000</v>
      </c>
      <c r="J18" s="54">
        <v>50500000</v>
      </c>
      <c r="K18" s="54">
        <v>64600000</v>
      </c>
    </row>
    <row r="19" spans="1:11">
      <c r="A19" s="64" t="s">
        <v>21</v>
      </c>
      <c r="B19" s="9">
        <v>8.5</v>
      </c>
      <c r="C19" s="54">
        <v>6110000000</v>
      </c>
      <c r="D19" s="54">
        <v>5260000000</v>
      </c>
      <c r="E19" s="54">
        <v>7890000000</v>
      </c>
      <c r="F19" s="54">
        <v>7010000</v>
      </c>
      <c r="G19" s="54">
        <v>6390000</v>
      </c>
      <c r="H19" s="54">
        <v>13500000</v>
      </c>
      <c r="I19" s="54">
        <v>893000000</v>
      </c>
      <c r="J19" s="54">
        <v>1060000000</v>
      </c>
      <c r="K19" s="54">
        <v>771000000</v>
      </c>
    </row>
    <row r="20" spans="1:11">
      <c r="A20" s="64"/>
      <c r="B20" s="9">
        <v>8.5</v>
      </c>
      <c r="C20" s="54">
        <v>87600000</v>
      </c>
      <c r="D20" s="54">
        <v>119000000</v>
      </c>
      <c r="E20" s="54">
        <v>102000000</v>
      </c>
      <c r="F20" s="54">
        <v>7280000</v>
      </c>
      <c r="G20" s="54">
        <v>6440000</v>
      </c>
      <c r="H20" s="54">
        <v>11900000</v>
      </c>
      <c r="I20" s="54">
        <v>19700000</v>
      </c>
      <c r="J20" s="54">
        <v>16300000</v>
      </c>
      <c r="K20" s="54">
        <v>17800000</v>
      </c>
    </row>
    <row r="21" spans="1:11">
      <c r="A21" s="64"/>
      <c r="B21" s="9">
        <v>8.6</v>
      </c>
      <c r="C21" s="54">
        <v>690000000</v>
      </c>
      <c r="D21" s="54">
        <v>578000000</v>
      </c>
      <c r="E21" s="54">
        <v>540000000</v>
      </c>
      <c r="F21" s="54">
        <v>39200000</v>
      </c>
      <c r="G21" s="54">
        <v>34600000</v>
      </c>
      <c r="H21" s="54">
        <v>18500000</v>
      </c>
      <c r="I21" s="54">
        <v>70300000</v>
      </c>
      <c r="J21" s="54">
        <v>64000000</v>
      </c>
      <c r="K21" s="54">
        <v>64600000</v>
      </c>
    </row>
    <row r="22" spans="1:11">
      <c r="A22" s="64"/>
      <c r="B22" s="9">
        <v>8.7</v>
      </c>
      <c r="C22" s="54">
        <v>1060000000</v>
      </c>
      <c r="D22" s="54">
        <v>989000000</v>
      </c>
      <c r="E22" s="54">
        <v>810000000</v>
      </c>
      <c r="F22" s="54">
        <v>9580000</v>
      </c>
      <c r="G22" s="54">
        <v>3790000</v>
      </c>
      <c r="H22" s="54">
        <v>5870000</v>
      </c>
      <c r="I22" s="54">
        <v>47100000</v>
      </c>
      <c r="J22" s="54">
        <v>39900000</v>
      </c>
      <c r="K22" s="54">
        <v>51400000</v>
      </c>
    </row>
    <row r="23" spans="1:11">
      <c r="A23" s="64"/>
      <c r="B23" s="9">
        <v>9.8</v>
      </c>
      <c r="C23" s="54">
        <v>2850000000</v>
      </c>
      <c r="D23" s="54">
        <v>3180000000</v>
      </c>
      <c r="E23" s="54">
        <v>2670000000</v>
      </c>
      <c r="F23" s="54">
        <v>6700000</v>
      </c>
      <c r="G23" s="54">
        <v>5520000</v>
      </c>
      <c r="H23" s="54">
        <v>6700000</v>
      </c>
      <c r="I23" s="54">
        <v>15700000</v>
      </c>
      <c r="J23" s="54">
        <v>19700000</v>
      </c>
      <c r="K23" s="54">
        <v>11100000</v>
      </c>
    </row>
    <row r="24" spans="1:11">
      <c r="A24" s="64"/>
      <c r="B24" s="9">
        <v>10.1</v>
      </c>
      <c r="C24" s="54">
        <v>3190000000</v>
      </c>
      <c r="D24" s="54">
        <v>3350000000</v>
      </c>
      <c r="E24" s="54">
        <v>3650000000</v>
      </c>
      <c r="F24" s="54">
        <v>2200000</v>
      </c>
      <c r="G24" s="54">
        <v>12100000</v>
      </c>
      <c r="H24" s="54">
        <v>14000000</v>
      </c>
      <c r="I24" s="54">
        <v>10200000</v>
      </c>
      <c r="J24" s="54">
        <v>8500000</v>
      </c>
      <c r="K24" s="54">
        <v>7610000</v>
      </c>
    </row>
    <row r="25" spans="1:11">
      <c r="A25" s="64"/>
      <c r="B25" s="9">
        <v>10.2</v>
      </c>
      <c r="C25" s="54">
        <v>10600000000</v>
      </c>
      <c r="D25" s="54">
        <v>10900000000</v>
      </c>
      <c r="E25" s="54">
        <v>9890000000</v>
      </c>
      <c r="F25" s="54">
        <v>5550000</v>
      </c>
      <c r="G25" s="54">
        <v>6110000</v>
      </c>
      <c r="H25" s="54">
        <v>7400000</v>
      </c>
      <c r="I25" s="54">
        <v>11000000</v>
      </c>
      <c r="J25" s="54">
        <v>7020000</v>
      </c>
      <c r="K25" s="54">
        <v>8170000</v>
      </c>
    </row>
  </sheetData>
  <mergeCells count="5">
    <mergeCell ref="C1:E1"/>
    <mergeCell ref="F1:H1"/>
    <mergeCell ref="I1:K1"/>
    <mergeCell ref="A2:A18"/>
    <mergeCell ref="A19:A2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N3" sqref="N3"/>
    </sheetView>
  </sheetViews>
  <sheetFormatPr defaultColWidth="8.75454545454545" defaultRowHeight="14"/>
  <cols>
    <col min="1" max="1" width="11.7272727272727" customWidth="1"/>
    <col min="3" max="11" width="12.8727272727273"/>
    <col min="13" max="21" width="12.8727272727273"/>
  </cols>
  <sheetData>
    <row r="1" ht="17.5" spans="1:11">
      <c r="C1" s="56" t="s">
        <v>38</v>
      </c>
      <c r="D1" s="56"/>
      <c r="E1" s="56"/>
      <c r="F1" s="56"/>
      <c r="G1" s="56"/>
      <c r="H1" s="56"/>
      <c r="I1" s="56"/>
      <c r="J1" s="56"/>
      <c r="K1" s="56"/>
    </row>
    <row r="2" spans="1:11">
      <c r="A2" s="9" t="s">
        <v>0</v>
      </c>
      <c r="B2" s="9" t="s">
        <v>32</v>
      </c>
      <c r="C2" s="57" t="s">
        <v>37</v>
      </c>
      <c r="D2" s="58"/>
      <c r="E2" s="59"/>
      <c r="F2" s="57" t="s">
        <v>35</v>
      </c>
      <c r="G2" s="58"/>
      <c r="H2" s="59"/>
      <c r="I2" s="57" t="s">
        <v>36</v>
      </c>
      <c r="J2" s="58"/>
      <c r="K2" s="59"/>
    </row>
    <row r="3" spans="1:11">
      <c r="A3" s="60" t="s">
        <v>3</v>
      </c>
      <c r="B3" s="61" t="s">
        <v>4</v>
      </c>
      <c r="C3" s="8">
        <v>0.0276365523737945</v>
      </c>
      <c r="D3" s="8">
        <v>0.0143299551790846</v>
      </c>
      <c r="E3" s="8">
        <v>0.0374109320914447</v>
      </c>
      <c r="F3" s="8">
        <v>0.0223621929857255</v>
      </c>
      <c r="G3" s="8">
        <v>0.00226221312309833</v>
      </c>
      <c r="H3" s="8">
        <v>0.0111273384797274</v>
      </c>
      <c r="I3" s="8">
        <v>0.163711728029538</v>
      </c>
      <c r="J3" s="8">
        <v>0.200052791708923</v>
      </c>
      <c r="K3" s="8">
        <v>0.750141741898905</v>
      </c>
    </row>
    <row r="4" spans="1:11">
      <c r="A4" s="60"/>
      <c r="B4" s="61" t="s">
        <v>5</v>
      </c>
      <c r="C4" s="8">
        <v>0.0260214934111696</v>
      </c>
      <c r="D4" s="8">
        <v>0.0340941843054277</v>
      </c>
      <c r="E4" s="8">
        <v>0.0341152615343219</v>
      </c>
      <c r="F4" s="8">
        <v>0.00191303349721654</v>
      </c>
      <c r="G4" s="8">
        <v>0.00647944165725605</v>
      </c>
      <c r="H4" s="8">
        <v>0.00701677008049238</v>
      </c>
      <c r="I4" s="8">
        <v>0.162489432299602</v>
      </c>
      <c r="J4" s="8">
        <v>0.112605650595706</v>
      </c>
      <c r="K4" s="8">
        <v>0.139784765144753</v>
      </c>
    </row>
    <row r="5" spans="1:11">
      <c r="A5" s="60"/>
      <c r="B5" s="61" t="s">
        <v>6</v>
      </c>
      <c r="C5" s="8">
        <v>0.0830417777328264</v>
      </c>
      <c r="D5" s="8">
        <v>0.0650115148486989</v>
      </c>
      <c r="E5" s="8">
        <v>0.0674524407595426</v>
      </c>
      <c r="F5" s="8">
        <v>0.00369952461108747</v>
      </c>
      <c r="G5" s="8">
        <v>0.00579091887405234</v>
      </c>
      <c r="H5" s="8">
        <v>0.00234810683886117</v>
      </c>
      <c r="I5" s="8">
        <v>0.22436720352881</v>
      </c>
      <c r="J5" s="8">
        <v>0.180194094782094</v>
      </c>
      <c r="K5" s="8">
        <v>0.29445788200652</v>
      </c>
    </row>
    <row r="6" spans="1:11">
      <c r="A6" s="60"/>
      <c r="B6" s="61" t="s">
        <v>7</v>
      </c>
      <c r="C6" s="8">
        <v>0.0644278449436532</v>
      </c>
      <c r="D6" s="8">
        <v>0.0563340463435878</v>
      </c>
      <c r="E6" s="8">
        <v>0.0271931295966919</v>
      </c>
      <c r="F6" s="8">
        <v>0.00643641465957803</v>
      </c>
      <c r="G6" s="8">
        <v>0.0100038348033413</v>
      </c>
      <c r="H6" s="8">
        <v>0.0135953304571656</v>
      </c>
      <c r="I6" s="8">
        <v>0.0636050729737874</v>
      </c>
      <c r="J6" s="8">
        <v>0.0489789595502137</v>
      </c>
      <c r="K6" s="8">
        <v>0.0326892434787055</v>
      </c>
    </row>
    <row r="7" spans="1:11">
      <c r="A7" s="60"/>
      <c r="B7" s="61" t="s">
        <v>8</v>
      </c>
      <c r="C7" s="8">
        <v>0.0507055528545735</v>
      </c>
      <c r="D7" s="8">
        <v>0.0718923258365614</v>
      </c>
      <c r="E7" s="8">
        <v>0.0463698190061705</v>
      </c>
      <c r="F7" s="8">
        <v>0.0031622719870136</v>
      </c>
      <c r="G7" s="8">
        <v>0.0110191825603071</v>
      </c>
      <c r="H7" s="8">
        <v>0.00751975109623871</v>
      </c>
      <c r="I7" s="8">
        <v>0.0796383093450578</v>
      </c>
      <c r="J7" s="8">
        <v>0.0781149740825675</v>
      </c>
      <c r="K7" s="8">
        <v>0.0417582847784527</v>
      </c>
    </row>
    <row r="8" spans="1:11">
      <c r="A8" s="62" t="s">
        <v>21</v>
      </c>
      <c r="B8" s="61" t="s">
        <v>22</v>
      </c>
      <c r="C8" s="8">
        <v>0.0326502658806712</v>
      </c>
      <c r="D8" s="8">
        <v>0.021649773744618</v>
      </c>
      <c r="E8" s="8">
        <v>0.0190733138190773</v>
      </c>
      <c r="F8" s="8">
        <v>0.00149780197560081</v>
      </c>
      <c r="G8" s="8">
        <v>0.00564622628192863</v>
      </c>
      <c r="H8" s="8">
        <v>0.00224606167123834</v>
      </c>
      <c r="I8" s="8">
        <v>0.255902298267365</v>
      </c>
      <c r="J8" s="8">
        <v>0.158906120534076</v>
      </c>
      <c r="K8" s="8">
        <v>0.252104099600512</v>
      </c>
    </row>
    <row r="9" spans="1:11">
      <c r="A9" s="62"/>
      <c r="B9" s="61" t="s">
        <v>23</v>
      </c>
      <c r="C9" s="8">
        <v>0.0223413762287757</v>
      </c>
      <c r="D9" s="8">
        <v>0.0567031186715269</v>
      </c>
      <c r="E9" s="8">
        <v>0.0500856728614736</v>
      </c>
      <c r="F9" s="8">
        <v>0.005863195654839</v>
      </c>
      <c r="G9" s="8">
        <v>0.00201172837643461</v>
      </c>
      <c r="H9" s="8">
        <v>0.00341829700443239</v>
      </c>
      <c r="I9" s="8">
        <v>0.306635594259782</v>
      </c>
      <c r="J9" s="8">
        <v>0.441933141828972</v>
      </c>
      <c r="K9" s="8">
        <v>0.262651024338995</v>
      </c>
    </row>
    <row r="10" spans="1:11">
      <c r="A10" s="62"/>
      <c r="B10" s="61" t="s">
        <v>24</v>
      </c>
      <c r="C10" s="8">
        <v>0.050922453361226</v>
      </c>
      <c r="D10" s="8">
        <v>0.0737582113633744</v>
      </c>
      <c r="E10" s="8">
        <v>0.0930621010558969</v>
      </c>
      <c r="F10" s="8">
        <v>0.00777445203996068</v>
      </c>
      <c r="G10" s="8">
        <v>0.00291779123203735</v>
      </c>
      <c r="H10" s="8">
        <v>0.00209462832565885</v>
      </c>
      <c r="I10" s="8">
        <v>0.235211101964013</v>
      </c>
      <c r="J10" s="8">
        <v>1.68132942326491</v>
      </c>
      <c r="K10" s="8">
        <v>0.543666287747739</v>
      </c>
    </row>
    <row r="11" spans="1:11">
      <c r="A11" s="62"/>
      <c r="B11" s="61" t="s">
        <v>25</v>
      </c>
      <c r="C11" s="8">
        <v>0.0557120970247597</v>
      </c>
      <c r="D11" s="8">
        <v>0.112770908282308</v>
      </c>
      <c r="E11" s="8">
        <v>0.0727941458181679</v>
      </c>
      <c r="F11" s="8">
        <v>0.00273635244219455</v>
      </c>
      <c r="G11" s="8">
        <v>0.0038371267594825</v>
      </c>
      <c r="H11" s="8">
        <v>0.00535789631131164</v>
      </c>
      <c r="I11" s="8">
        <v>0.500585590690997</v>
      </c>
      <c r="J11" s="8">
        <v>0.430901815943367</v>
      </c>
      <c r="K11" s="8">
        <v>1.77082564745813</v>
      </c>
    </row>
    <row r="12" spans="1:11">
      <c r="A12" s="62"/>
      <c r="B12" s="61" t="s">
        <v>26</v>
      </c>
      <c r="C12" s="8">
        <v>0.182666534299613</v>
      </c>
      <c r="D12" s="8">
        <v>0.22488038277512</v>
      </c>
      <c r="E12" s="8">
        <v>0.166288398013528</v>
      </c>
      <c r="F12" s="8">
        <v>0.00383757669823429</v>
      </c>
      <c r="G12" s="8">
        <v>0.00820164325780987</v>
      </c>
      <c r="H12" s="8">
        <v>0.00463056509732606</v>
      </c>
      <c r="I12" s="8">
        <v>0.231065044810114</v>
      </c>
      <c r="J12" s="8">
        <v>0.628061801281246</v>
      </c>
      <c r="K12" s="8">
        <v>0.919919801863427</v>
      </c>
    </row>
  </sheetData>
  <mergeCells count="6">
    <mergeCell ref="C1:K1"/>
    <mergeCell ref="C2:E2"/>
    <mergeCell ref="F2:H2"/>
    <mergeCell ref="I2:K2"/>
    <mergeCell ref="A3:A7"/>
    <mergeCell ref="A8:A1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N3" sqref="N3"/>
    </sheetView>
  </sheetViews>
  <sheetFormatPr defaultColWidth="8.72727272727273" defaultRowHeight="14" outlineLevelCol="3"/>
  <cols>
    <col min="2" max="2" width="11.7272727272727" customWidth="1"/>
    <col min="3" max="3" width="12.5454545454545" customWidth="1"/>
    <col min="4" max="4" width="13.2727272727273" customWidth="1"/>
  </cols>
  <sheetData>
    <row r="1" spans="1:4">
      <c r="A1" s="9" t="s">
        <v>34</v>
      </c>
      <c r="B1" s="55" t="s">
        <v>39</v>
      </c>
      <c r="C1" s="55"/>
      <c r="D1" s="55"/>
    </row>
    <row r="2" spans="1:4">
      <c r="A2" s="9">
        <v>7.5</v>
      </c>
      <c r="B2" s="9">
        <v>0.402</v>
      </c>
      <c r="C2" s="9">
        <v>0.884</v>
      </c>
      <c r="D2" s="9">
        <v>0.719</v>
      </c>
    </row>
    <row r="3" spans="1:4">
      <c r="A3" s="9">
        <v>7.7</v>
      </c>
      <c r="B3" s="9">
        <v>1.045</v>
      </c>
      <c r="C3" s="9">
        <v>1.08</v>
      </c>
      <c r="D3" s="9">
        <v>0.998</v>
      </c>
    </row>
    <row r="4" spans="1:4">
      <c r="A4" s="9">
        <v>7.9</v>
      </c>
      <c r="B4" s="9">
        <v>1.081</v>
      </c>
      <c r="C4" s="9">
        <v>1.036</v>
      </c>
      <c r="D4" s="9">
        <v>0.852</v>
      </c>
    </row>
    <row r="5" spans="1:4">
      <c r="A5" s="9">
        <v>7.9</v>
      </c>
      <c r="B5" s="9">
        <v>0.777</v>
      </c>
      <c r="C5" s="9">
        <v>0.6</v>
      </c>
      <c r="D5" s="9">
        <v>1.103</v>
      </c>
    </row>
    <row r="6" spans="1:4">
      <c r="A6" s="9">
        <v>8.4</v>
      </c>
      <c r="B6" s="9">
        <v>0.949</v>
      </c>
      <c r="C6" s="9">
        <v>0.545</v>
      </c>
      <c r="D6" s="9">
        <v>1.064</v>
      </c>
    </row>
    <row r="7" spans="1:4">
      <c r="A7" s="9">
        <v>8.5</v>
      </c>
      <c r="B7" s="9">
        <v>1.335</v>
      </c>
      <c r="C7" s="9">
        <v>1.594</v>
      </c>
      <c r="D7" s="9">
        <v>1.781</v>
      </c>
    </row>
    <row r="8" spans="1:4">
      <c r="A8" s="9">
        <v>8.7</v>
      </c>
      <c r="B8" s="9">
        <v>1.876</v>
      </c>
      <c r="C8" s="9">
        <v>1.491</v>
      </c>
      <c r="D8" s="9">
        <v>1.755</v>
      </c>
    </row>
    <row r="9" spans="1:4">
      <c r="A9" s="9">
        <v>9.8</v>
      </c>
      <c r="B9" s="9">
        <v>1.801</v>
      </c>
      <c r="C9" s="9">
        <v>2.056</v>
      </c>
      <c r="D9" s="9">
        <v>1.432</v>
      </c>
    </row>
    <row r="10" spans="1:4">
      <c r="A10" s="9">
        <v>10.1</v>
      </c>
      <c r="B10" s="9">
        <v>1.827</v>
      </c>
      <c r="C10" s="9">
        <v>2.346</v>
      </c>
      <c r="D10" s="9">
        <v>2.24</v>
      </c>
    </row>
    <row r="11" spans="1:4">
      <c r="A11" s="9">
        <v>10.2</v>
      </c>
      <c r="B11" s="9">
        <v>2.345</v>
      </c>
      <c r="C11" s="9">
        <v>1.707</v>
      </c>
      <c r="D11" s="9">
        <v>2.376</v>
      </c>
    </row>
  </sheetData>
  <mergeCells count="1">
    <mergeCell ref="B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M7" sqref="M7"/>
    </sheetView>
  </sheetViews>
  <sheetFormatPr defaultColWidth="8.75454545454545" defaultRowHeight="14"/>
  <cols>
    <col min="11" max="13" width="12.8181818181818"/>
  </cols>
  <sheetData>
    <row r="1" spans="1:10">
      <c r="A1" s="9" t="s">
        <v>34</v>
      </c>
      <c r="B1" s="53" t="s">
        <v>35</v>
      </c>
      <c r="C1" s="53"/>
      <c r="D1" s="53"/>
      <c r="E1" s="53" t="s">
        <v>36</v>
      </c>
      <c r="F1" s="53"/>
      <c r="G1" s="53"/>
      <c r="H1" s="53" t="s">
        <v>37</v>
      </c>
      <c r="I1" s="53"/>
      <c r="J1" s="53"/>
    </row>
    <row r="2" spans="1:10">
      <c r="A2" s="9">
        <v>7.5</v>
      </c>
      <c r="B2" s="54">
        <v>29500000</v>
      </c>
      <c r="C2" s="54">
        <v>24200000</v>
      </c>
      <c r="D2" s="54">
        <v>29500000</v>
      </c>
      <c r="E2" s="54">
        <v>4840000</v>
      </c>
      <c r="F2" s="54">
        <v>5760000</v>
      </c>
      <c r="G2" s="54">
        <v>4920000</v>
      </c>
      <c r="H2" s="54">
        <v>112000000</v>
      </c>
      <c r="I2" s="54">
        <v>281000000</v>
      </c>
      <c r="J2" s="54">
        <v>190000000</v>
      </c>
    </row>
    <row r="3" spans="1:10">
      <c r="A3" s="9">
        <v>7.7</v>
      </c>
      <c r="B3" s="54">
        <v>179000000</v>
      </c>
      <c r="C3" s="54">
        <v>132000000</v>
      </c>
      <c r="D3" s="54">
        <v>161000000</v>
      </c>
      <c r="E3" s="54">
        <v>18100000</v>
      </c>
      <c r="F3" s="54">
        <v>29200000</v>
      </c>
      <c r="G3" s="54">
        <v>25600000</v>
      </c>
      <c r="H3" s="54">
        <v>881000000</v>
      </c>
      <c r="I3" s="54">
        <v>682000000</v>
      </c>
      <c r="J3" s="54">
        <v>562000000</v>
      </c>
    </row>
    <row r="4" spans="1:10">
      <c r="A4" s="9">
        <v>7.9</v>
      </c>
      <c r="B4" s="54">
        <v>574000000</v>
      </c>
      <c r="C4" s="54">
        <v>552000000</v>
      </c>
      <c r="D4" s="54">
        <v>473000000</v>
      </c>
      <c r="E4" s="54">
        <v>35000000</v>
      </c>
      <c r="F4" s="54">
        <v>17000000</v>
      </c>
      <c r="G4" s="54">
        <v>62600000</v>
      </c>
      <c r="H4" s="54">
        <v>521000000</v>
      </c>
      <c r="I4" s="54">
        <v>714000000</v>
      </c>
      <c r="J4" s="54">
        <v>611000000</v>
      </c>
    </row>
    <row r="5" spans="1:10">
      <c r="A5" s="9">
        <v>7.9</v>
      </c>
      <c r="B5" s="54">
        <v>42600000</v>
      </c>
      <c r="C5" s="54">
        <v>50000000</v>
      </c>
      <c r="D5" s="54">
        <v>47900000</v>
      </c>
      <c r="E5" s="54">
        <v>59100000</v>
      </c>
      <c r="F5" s="54">
        <v>62300000</v>
      </c>
      <c r="G5" s="54">
        <v>50300000</v>
      </c>
      <c r="H5" s="54">
        <v>160000000</v>
      </c>
      <c r="I5" s="54">
        <v>150000000</v>
      </c>
      <c r="J5" s="54">
        <v>166000000</v>
      </c>
    </row>
    <row r="6" spans="1:10">
      <c r="A6" s="9">
        <v>7.9</v>
      </c>
      <c r="B6" s="54">
        <v>1830000000</v>
      </c>
      <c r="C6" s="54">
        <v>1830000000</v>
      </c>
      <c r="D6" s="54">
        <v>1710000000</v>
      </c>
      <c r="E6" s="54">
        <v>38500000</v>
      </c>
      <c r="F6" s="54">
        <v>57300000</v>
      </c>
      <c r="G6" s="54">
        <v>39000000</v>
      </c>
      <c r="H6" s="54">
        <v>6710000000</v>
      </c>
      <c r="I6" s="54">
        <v>6730000000</v>
      </c>
      <c r="J6" s="54">
        <v>6530000000</v>
      </c>
    </row>
    <row r="7" spans="1:10">
      <c r="A7" s="9">
        <v>8</v>
      </c>
      <c r="B7" s="54">
        <v>27100000</v>
      </c>
      <c r="C7" s="54">
        <v>25700000</v>
      </c>
      <c r="D7" s="54">
        <v>29500000</v>
      </c>
      <c r="E7" s="54">
        <v>65800000</v>
      </c>
      <c r="F7" s="54">
        <v>75400000</v>
      </c>
      <c r="G7" s="54">
        <v>87600000</v>
      </c>
      <c r="H7" s="54">
        <v>119000000</v>
      </c>
      <c r="I7" s="54">
        <v>218000000</v>
      </c>
      <c r="J7" s="54">
        <v>287000000</v>
      </c>
    </row>
    <row r="8" spans="1:10">
      <c r="A8" s="9">
        <v>8.1</v>
      </c>
      <c r="B8" s="54">
        <v>142000000</v>
      </c>
      <c r="C8" s="54">
        <v>93600000</v>
      </c>
      <c r="D8" s="54">
        <v>142000000</v>
      </c>
      <c r="E8" s="54">
        <v>51300000</v>
      </c>
      <c r="F8" s="54">
        <v>72300000</v>
      </c>
      <c r="G8" s="54">
        <v>81700000</v>
      </c>
      <c r="H8" s="54">
        <v>904000000</v>
      </c>
      <c r="I8" s="54">
        <v>714000000</v>
      </c>
      <c r="J8" s="54">
        <v>697000000</v>
      </c>
    </row>
    <row r="9" spans="1:10">
      <c r="A9" s="9">
        <v>8.1</v>
      </c>
      <c r="B9" s="54">
        <v>293000000</v>
      </c>
      <c r="C9" s="54">
        <v>295000000</v>
      </c>
      <c r="D9" s="54">
        <v>397000000</v>
      </c>
      <c r="E9" s="54">
        <v>40100000</v>
      </c>
      <c r="F9" s="54">
        <v>19200000</v>
      </c>
      <c r="G9" s="54">
        <v>34600000</v>
      </c>
      <c r="H9" s="54">
        <v>623000000</v>
      </c>
      <c r="I9" s="54">
        <v>620000000</v>
      </c>
      <c r="J9" s="54">
        <v>644000000</v>
      </c>
    </row>
    <row r="10" spans="1:10">
      <c r="A10" s="9">
        <v>8.1</v>
      </c>
      <c r="B10" s="54">
        <v>76200000</v>
      </c>
      <c r="C10" s="54">
        <v>95700000</v>
      </c>
      <c r="D10" s="54">
        <v>121000000</v>
      </c>
      <c r="E10" s="54">
        <v>33000000</v>
      </c>
      <c r="F10" s="54">
        <v>31500000</v>
      </c>
      <c r="G10" s="54">
        <v>24900000</v>
      </c>
      <c r="H10" s="54">
        <v>89900000</v>
      </c>
      <c r="I10" s="54">
        <v>96000000</v>
      </c>
      <c r="J10" s="54">
        <v>105000000</v>
      </c>
    </row>
    <row r="11" spans="1:10">
      <c r="A11" s="9">
        <v>8.1</v>
      </c>
      <c r="B11" s="54">
        <v>61800000</v>
      </c>
      <c r="C11" s="54">
        <v>56400000</v>
      </c>
      <c r="D11" s="54">
        <v>61000000</v>
      </c>
      <c r="E11" s="54">
        <v>13400000</v>
      </c>
      <c r="F11" s="54">
        <v>48300000</v>
      </c>
      <c r="G11" s="54">
        <v>21500000</v>
      </c>
      <c r="H11" s="54">
        <v>111000000</v>
      </c>
      <c r="I11" s="54">
        <v>104000000</v>
      </c>
      <c r="J11" s="54">
        <v>107000000</v>
      </c>
    </row>
    <row r="12" spans="1:10">
      <c r="A12" s="9">
        <v>8.2</v>
      </c>
      <c r="B12" s="54">
        <v>55100000</v>
      </c>
      <c r="C12" s="54">
        <v>69400000</v>
      </c>
      <c r="D12" s="54">
        <v>69900000</v>
      </c>
      <c r="E12" s="54">
        <v>36800000</v>
      </c>
      <c r="F12" s="54">
        <v>36600000</v>
      </c>
      <c r="G12" s="54">
        <v>33600000</v>
      </c>
      <c r="H12" s="54">
        <v>65100000</v>
      </c>
      <c r="I12" s="54">
        <v>93000000</v>
      </c>
      <c r="J12" s="54">
        <v>62800000</v>
      </c>
    </row>
    <row r="13" spans="1:10">
      <c r="A13" s="9">
        <v>8.2</v>
      </c>
      <c r="B13" s="54">
        <v>634000000</v>
      </c>
      <c r="C13" s="54">
        <v>638000000</v>
      </c>
      <c r="D13" s="54">
        <v>590000000</v>
      </c>
      <c r="E13" s="54">
        <v>10300000</v>
      </c>
      <c r="F13" s="54">
        <v>10500000</v>
      </c>
      <c r="G13" s="54">
        <v>9740000</v>
      </c>
      <c r="H13" s="54">
        <v>753000000</v>
      </c>
      <c r="I13" s="54">
        <v>545000000</v>
      </c>
      <c r="J13" s="54">
        <v>842000000</v>
      </c>
    </row>
    <row r="14" spans="1:10">
      <c r="A14" s="9">
        <v>8.2</v>
      </c>
      <c r="B14" s="54">
        <v>531000000</v>
      </c>
      <c r="C14" s="54">
        <v>483000000</v>
      </c>
      <c r="D14" s="54">
        <v>371000000</v>
      </c>
      <c r="E14" s="54">
        <v>27200000</v>
      </c>
      <c r="F14" s="54">
        <v>6270000</v>
      </c>
      <c r="G14" s="54">
        <v>5360000</v>
      </c>
      <c r="H14" s="54">
        <v>746000000</v>
      </c>
      <c r="I14" s="54">
        <v>917000000</v>
      </c>
      <c r="J14" s="54">
        <v>1130000000</v>
      </c>
    </row>
    <row r="15" spans="1:10">
      <c r="A15" s="9">
        <v>8.3</v>
      </c>
      <c r="B15" s="54">
        <v>78500000</v>
      </c>
      <c r="C15" s="54">
        <v>90700000</v>
      </c>
      <c r="D15" s="54">
        <v>112000000</v>
      </c>
      <c r="E15" s="54">
        <v>11900000</v>
      </c>
      <c r="F15" s="54">
        <v>12800000</v>
      </c>
      <c r="G15" s="54">
        <v>9150000</v>
      </c>
      <c r="H15" s="54">
        <v>112000000</v>
      </c>
      <c r="I15" s="54">
        <v>92600000</v>
      </c>
      <c r="J15" s="54">
        <v>126000000</v>
      </c>
    </row>
    <row r="16" spans="1:10">
      <c r="A16" s="9">
        <v>8.3</v>
      </c>
      <c r="B16" s="54">
        <v>82100000</v>
      </c>
      <c r="C16" s="54">
        <v>80700000</v>
      </c>
      <c r="D16" s="54">
        <v>121000000</v>
      </c>
      <c r="E16" s="54">
        <v>10300000</v>
      </c>
      <c r="F16" s="54">
        <v>8820000</v>
      </c>
      <c r="G16" s="54">
        <v>14300000</v>
      </c>
      <c r="H16" s="54">
        <v>74200000</v>
      </c>
      <c r="I16" s="54">
        <v>66400000</v>
      </c>
      <c r="J16" s="54">
        <v>83400000</v>
      </c>
    </row>
    <row r="17" spans="1:10">
      <c r="A17" s="9">
        <v>8.4</v>
      </c>
      <c r="B17" s="54">
        <v>308000000</v>
      </c>
      <c r="C17" s="54">
        <v>304000000</v>
      </c>
      <c r="D17" s="54">
        <v>295000000</v>
      </c>
      <c r="E17" s="54">
        <v>8620000</v>
      </c>
      <c r="F17" s="54">
        <v>9460000</v>
      </c>
      <c r="G17" s="54">
        <v>15200000</v>
      </c>
      <c r="H17" s="54">
        <v>835000000</v>
      </c>
      <c r="I17" s="54">
        <v>953000000</v>
      </c>
      <c r="J17" s="54">
        <v>710000000</v>
      </c>
    </row>
    <row r="18" spans="1:10">
      <c r="A18" s="9">
        <v>8.4</v>
      </c>
      <c r="B18" s="54">
        <v>122000000</v>
      </c>
      <c r="C18" s="54">
        <v>83300000</v>
      </c>
      <c r="D18" s="54">
        <v>82700000</v>
      </c>
      <c r="E18" s="54">
        <v>2870000</v>
      </c>
      <c r="F18" s="54">
        <v>3870000</v>
      </c>
      <c r="G18" s="54">
        <v>7650000</v>
      </c>
      <c r="H18" s="54">
        <v>48400000</v>
      </c>
      <c r="I18" s="54">
        <v>50500000</v>
      </c>
      <c r="J18" s="54">
        <v>64600000</v>
      </c>
    </row>
    <row r="19" spans="1:10">
      <c r="A19" s="9">
        <v>8.5</v>
      </c>
      <c r="B19" s="54">
        <v>6110000000</v>
      </c>
      <c r="C19" s="54">
        <v>5260000000</v>
      </c>
      <c r="D19" s="54">
        <v>7890000000</v>
      </c>
      <c r="E19" s="54">
        <v>7010000</v>
      </c>
      <c r="F19" s="54">
        <v>6390000</v>
      </c>
      <c r="G19" s="54">
        <v>13500000</v>
      </c>
      <c r="H19" s="54">
        <v>893000000</v>
      </c>
      <c r="I19" s="54">
        <v>1060000000</v>
      </c>
      <c r="J19" s="54">
        <v>771000000</v>
      </c>
    </row>
    <row r="20" spans="1:10">
      <c r="A20" s="9">
        <v>8.5</v>
      </c>
      <c r="B20" s="54">
        <v>87600000</v>
      </c>
      <c r="C20" s="54">
        <v>119000000</v>
      </c>
      <c r="D20" s="54">
        <v>102000000</v>
      </c>
      <c r="E20" s="54">
        <v>7280000</v>
      </c>
      <c r="F20" s="54">
        <v>6440000</v>
      </c>
      <c r="G20" s="54">
        <v>11900000</v>
      </c>
      <c r="H20" s="54">
        <v>19700000</v>
      </c>
      <c r="I20" s="54">
        <v>16300000</v>
      </c>
      <c r="J20" s="54">
        <v>17800000</v>
      </c>
    </row>
    <row r="21" spans="1:10">
      <c r="A21" s="9">
        <v>8.6</v>
      </c>
      <c r="B21" s="54">
        <v>690000000</v>
      </c>
      <c r="C21" s="54">
        <v>578000000</v>
      </c>
      <c r="D21" s="54">
        <v>540000000</v>
      </c>
      <c r="E21" s="54">
        <v>39200000</v>
      </c>
      <c r="F21" s="54">
        <v>34600000</v>
      </c>
      <c r="G21" s="54">
        <v>18500000</v>
      </c>
      <c r="H21" s="54">
        <v>70300000</v>
      </c>
      <c r="I21" s="54">
        <v>64000000</v>
      </c>
      <c r="J21" s="54">
        <v>64600000</v>
      </c>
    </row>
    <row r="22" spans="1:10">
      <c r="A22" s="9">
        <v>8.7</v>
      </c>
      <c r="B22" s="54">
        <v>1060000000</v>
      </c>
      <c r="C22" s="54">
        <v>989000000</v>
      </c>
      <c r="D22" s="54">
        <v>810000000</v>
      </c>
      <c r="E22" s="54">
        <v>9580000</v>
      </c>
      <c r="F22" s="54">
        <v>3790000</v>
      </c>
      <c r="G22" s="54">
        <v>5870000</v>
      </c>
      <c r="H22" s="54">
        <v>47100000</v>
      </c>
      <c r="I22" s="54">
        <v>39900000</v>
      </c>
      <c r="J22" s="54">
        <v>51400000</v>
      </c>
    </row>
    <row r="23" spans="1:10">
      <c r="A23" s="9">
        <v>9.8</v>
      </c>
      <c r="B23" s="54">
        <v>2850000000</v>
      </c>
      <c r="C23" s="54">
        <v>3180000000</v>
      </c>
      <c r="D23" s="54">
        <v>2670000000</v>
      </c>
      <c r="E23" s="54">
        <v>6700000</v>
      </c>
      <c r="F23" s="54">
        <v>5520000</v>
      </c>
      <c r="G23" s="54">
        <v>6700000</v>
      </c>
      <c r="H23" s="54">
        <v>15700000</v>
      </c>
      <c r="I23" s="54">
        <v>19700000</v>
      </c>
      <c r="J23" s="54">
        <v>11100000</v>
      </c>
    </row>
    <row r="24" spans="1:10">
      <c r="A24" s="9">
        <v>10.1</v>
      </c>
      <c r="B24" s="54">
        <v>3190000000</v>
      </c>
      <c r="C24" s="54">
        <v>3350000000</v>
      </c>
      <c r="D24" s="54">
        <v>3650000000</v>
      </c>
      <c r="E24" s="54">
        <v>2200000</v>
      </c>
      <c r="F24" s="54">
        <v>12100000</v>
      </c>
      <c r="G24" s="54">
        <v>14000000</v>
      </c>
      <c r="H24" s="54">
        <v>10200000</v>
      </c>
      <c r="I24" s="54">
        <v>8500000</v>
      </c>
      <c r="J24" s="54">
        <v>7610000</v>
      </c>
    </row>
    <row r="25" spans="1:10">
      <c r="A25" s="9">
        <v>10.2</v>
      </c>
      <c r="B25" s="54">
        <v>10600000000</v>
      </c>
      <c r="C25" s="54">
        <v>10900000000</v>
      </c>
      <c r="D25" s="54">
        <v>9890000000</v>
      </c>
      <c r="E25" s="54">
        <v>5550000</v>
      </c>
      <c r="F25" s="54">
        <v>6110000</v>
      </c>
      <c r="G25" s="54">
        <v>7400000</v>
      </c>
      <c r="H25" s="54">
        <v>11000000</v>
      </c>
      <c r="I25" s="54">
        <v>7020000</v>
      </c>
      <c r="J25" s="54">
        <v>8170000</v>
      </c>
    </row>
  </sheetData>
  <mergeCells count="3">
    <mergeCell ref="B1:D1"/>
    <mergeCell ref="E1:G1"/>
    <mergeCell ref="H1:J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6"/>
  <sheetViews>
    <sheetView tabSelected="1" zoomScale="85" zoomScaleNormal="85" workbookViewId="0">
      <selection activeCell="E2" sqref="E2"/>
    </sheetView>
  </sheetViews>
  <sheetFormatPr defaultColWidth="8.75454545454545" defaultRowHeight="14"/>
  <cols>
    <col min="2" max="27" width="9.54545454545454"/>
  </cols>
  <sheetData>
    <row r="1" spans="1:26">
      <c r="A1" s="38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47" t="s">
        <v>41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>
      <c r="A3" s="49" t="s">
        <v>42</v>
      </c>
      <c r="B3" s="10">
        <v>100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>
      <c r="A4" s="49" t="s">
        <v>43</v>
      </c>
      <c r="B4" s="10">
        <v>84.58</v>
      </c>
      <c r="C4" s="10">
        <v>100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49" t="s">
        <v>44</v>
      </c>
      <c r="B5" s="10">
        <v>77.55</v>
      </c>
      <c r="C5" s="10">
        <v>77.98</v>
      </c>
      <c r="D5" s="10">
        <v>100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49" t="s">
        <v>45</v>
      </c>
      <c r="B6" s="10">
        <v>79.45</v>
      </c>
      <c r="C6" s="10">
        <v>79.75</v>
      </c>
      <c r="D6" s="10">
        <v>79.54</v>
      </c>
      <c r="E6" s="10">
        <v>100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49" t="s">
        <v>46</v>
      </c>
      <c r="B7" s="10">
        <v>78.42</v>
      </c>
      <c r="C7" s="10">
        <v>78.8</v>
      </c>
      <c r="D7" s="10">
        <v>79.43</v>
      </c>
      <c r="E7" s="10">
        <v>91.41</v>
      </c>
      <c r="F7" s="10">
        <v>100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49" t="s">
        <v>47</v>
      </c>
      <c r="B8" s="10">
        <v>72.51</v>
      </c>
      <c r="C8" s="10">
        <v>72.8</v>
      </c>
      <c r="D8" s="10">
        <v>72.14</v>
      </c>
      <c r="E8" s="10">
        <v>73.27</v>
      </c>
      <c r="F8" s="10">
        <v>72.7</v>
      </c>
      <c r="G8" s="10">
        <v>100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49" t="s">
        <v>48</v>
      </c>
      <c r="B9" s="10">
        <v>89.32</v>
      </c>
      <c r="C9" s="10">
        <v>84.02</v>
      </c>
      <c r="D9" s="10">
        <v>77.43</v>
      </c>
      <c r="E9" s="10">
        <v>79.25</v>
      </c>
      <c r="F9" s="10">
        <v>78.73</v>
      </c>
      <c r="G9" s="10">
        <v>72.26</v>
      </c>
      <c r="H9" s="10">
        <v>100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49" t="s">
        <v>49</v>
      </c>
      <c r="B10" s="10">
        <v>77.55</v>
      </c>
      <c r="C10" s="10">
        <v>77.92</v>
      </c>
      <c r="D10" s="10">
        <v>98.17</v>
      </c>
      <c r="E10" s="10">
        <v>79.53</v>
      </c>
      <c r="F10" s="10">
        <v>79.38</v>
      </c>
      <c r="G10" s="10">
        <v>72.19</v>
      </c>
      <c r="H10" s="10">
        <v>77.35</v>
      </c>
      <c r="I10" s="10">
        <v>100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49" t="s">
        <v>50</v>
      </c>
      <c r="B11" s="10">
        <v>77.73</v>
      </c>
      <c r="C11" s="10">
        <v>77.82</v>
      </c>
      <c r="D11" s="10">
        <v>85.76</v>
      </c>
      <c r="E11" s="10">
        <v>79.44</v>
      </c>
      <c r="F11" s="10">
        <v>79.03</v>
      </c>
      <c r="G11" s="10">
        <v>72.17</v>
      </c>
      <c r="H11" s="10">
        <v>77.4</v>
      </c>
      <c r="I11" s="10">
        <v>85.76</v>
      </c>
      <c r="J11" s="10">
        <v>100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49" t="s">
        <v>51</v>
      </c>
      <c r="B12" s="10">
        <v>82.81</v>
      </c>
      <c r="C12" s="10">
        <v>83.32</v>
      </c>
      <c r="D12" s="10">
        <v>77.86</v>
      </c>
      <c r="E12" s="10">
        <v>80.46</v>
      </c>
      <c r="F12" s="10">
        <v>79.51</v>
      </c>
      <c r="G12" s="10">
        <v>72.31</v>
      </c>
      <c r="H12" s="10">
        <v>83.53</v>
      </c>
      <c r="I12" s="10">
        <v>77.86</v>
      </c>
      <c r="J12" s="10">
        <v>77.8</v>
      </c>
      <c r="K12" s="10">
        <v>100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49" t="s">
        <v>52</v>
      </c>
      <c r="B13" s="10">
        <v>78.75</v>
      </c>
      <c r="C13" s="10">
        <v>79.37</v>
      </c>
      <c r="D13" s="10">
        <v>79.15</v>
      </c>
      <c r="E13" s="10">
        <v>87.88</v>
      </c>
      <c r="F13" s="10">
        <v>87.75</v>
      </c>
      <c r="G13" s="10">
        <v>73.04</v>
      </c>
      <c r="H13" s="10">
        <v>78.73</v>
      </c>
      <c r="I13" s="10">
        <v>79.03</v>
      </c>
      <c r="J13" s="10">
        <v>79.21</v>
      </c>
      <c r="K13" s="10">
        <v>79.87</v>
      </c>
      <c r="L13" s="10">
        <v>100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49" t="s">
        <v>53</v>
      </c>
      <c r="B14" s="10">
        <v>77.81</v>
      </c>
      <c r="C14" s="10">
        <v>77.7</v>
      </c>
      <c r="D14" s="10">
        <v>85.37</v>
      </c>
      <c r="E14" s="10">
        <v>79.5</v>
      </c>
      <c r="F14" s="10">
        <v>79.19</v>
      </c>
      <c r="G14" s="10">
        <v>72.34</v>
      </c>
      <c r="H14" s="10">
        <v>77.41</v>
      </c>
      <c r="I14" s="10">
        <v>85.44</v>
      </c>
      <c r="J14" s="10">
        <v>89.68</v>
      </c>
      <c r="K14" s="10">
        <v>78.4</v>
      </c>
      <c r="L14" s="10">
        <v>79.33</v>
      </c>
      <c r="M14" s="10">
        <v>100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49" t="s">
        <v>54</v>
      </c>
      <c r="B15" s="10">
        <v>82.93</v>
      </c>
      <c r="C15" s="10">
        <v>84.04</v>
      </c>
      <c r="D15" s="10">
        <v>78.22</v>
      </c>
      <c r="E15" s="10">
        <v>80.92</v>
      </c>
      <c r="F15" s="10">
        <v>79.81</v>
      </c>
      <c r="G15" s="10">
        <v>72.64</v>
      </c>
      <c r="H15" s="10">
        <v>83.45</v>
      </c>
      <c r="I15" s="10">
        <v>78.05</v>
      </c>
      <c r="J15" s="10">
        <v>78.29</v>
      </c>
      <c r="K15" s="10">
        <v>90.19</v>
      </c>
      <c r="L15" s="10">
        <v>80.19</v>
      </c>
      <c r="M15" s="10">
        <v>78.17</v>
      </c>
      <c r="N15" s="10">
        <v>100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49" t="s">
        <v>55</v>
      </c>
      <c r="B16" s="10">
        <v>77.59</v>
      </c>
      <c r="C16" s="10">
        <v>77.8</v>
      </c>
      <c r="D16" s="10">
        <v>85.59</v>
      </c>
      <c r="E16" s="10">
        <v>79.42</v>
      </c>
      <c r="F16" s="10">
        <v>79.01</v>
      </c>
      <c r="G16" s="10">
        <v>71.91</v>
      </c>
      <c r="H16" s="10">
        <v>77.3</v>
      </c>
      <c r="I16" s="10">
        <v>85.58</v>
      </c>
      <c r="J16" s="10">
        <v>89.38</v>
      </c>
      <c r="K16" s="10">
        <v>78.63</v>
      </c>
      <c r="L16" s="10">
        <v>78.99</v>
      </c>
      <c r="M16" s="10">
        <v>95.05</v>
      </c>
      <c r="N16" s="10">
        <v>78.48</v>
      </c>
      <c r="O16" s="10">
        <v>100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49" t="s">
        <v>56</v>
      </c>
      <c r="B17" s="10">
        <v>83.4</v>
      </c>
      <c r="C17" s="10">
        <v>83.22</v>
      </c>
      <c r="D17" s="10">
        <v>78.12</v>
      </c>
      <c r="E17" s="10">
        <v>80.49</v>
      </c>
      <c r="F17" s="10">
        <v>79.54</v>
      </c>
      <c r="G17" s="10">
        <v>72.23</v>
      </c>
      <c r="H17" s="10">
        <v>84.56</v>
      </c>
      <c r="I17" s="10">
        <v>78.21</v>
      </c>
      <c r="J17" s="10">
        <v>78.15</v>
      </c>
      <c r="K17" s="10">
        <v>87.76</v>
      </c>
      <c r="L17" s="10">
        <v>80.11</v>
      </c>
      <c r="M17" s="10">
        <v>78.38</v>
      </c>
      <c r="N17" s="10">
        <v>87.68</v>
      </c>
      <c r="O17" s="10">
        <v>78.29</v>
      </c>
      <c r="P17" s="10">
        <v>100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49" t="s">
        <v>57</v>
      </c>
      <c r="B18" s="10">
        <v>76.08</v>
      </c>
      <c r="C18" s="10">
        <v>76.34</v>
      </c>
      <c r="D18" s="10">
        <v>75.68</v>
      </c>
      <c r="E18" s="10">
        <v>77.6</v>
      </c>
      <c r="F18" s="10">
        <v>77.17</v>
      </c>
      <c r="G18" s="10">
        <v>74.6</v>
      </c>
      <c r="H18" s="10">
        <v>75.54</v>
      </c>
      <c r="I18" s="10">
        <v>75.71</v>
      </c>
      <c r="J18" s="10">
        <v>75.89</v>
      </c>
      <c r="K18" s="10">
        <v>76.53</v>
      </c>
      <c r="L18" s="10">
        <v>77.27</v>
      </c>
      <c r="M18" s="10">
        <v>75.78</v>
      </c>
      <c r="N18" s="10">
        <v>77</v>
      </c>
      <c r="O18" s="10">
        <v>75.42</v>
      </c>
      <c r="P18" s="10">
        <v>76.73</v>
      </c>
      <c r="Q18" s="10">
        <v>100</v>
      </c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49" t="s">
        <v>58</v>
      </c>
      <c r="B19" s="10">
        <v>78.61</v>
      </c>
      <c r="C19" s="10">
        <v>79.15</v>
      </c>
      <c r="D19" s="10">
        <v>79.45</v>
      </c>
      <c r="E19" s="10">
        <v>94.86</v>
      </c>
      <c r="F19" s="10">
        <v>90.67</v>
      </c>
      <c r="G19" s="10">
        <v>72.53</v>
      </c>
      <c r="H19" s="10">
        <v>78.86</v>
      </c>
      <c r="I19" s="10">
        <v>79.24</v>
      </c>
      <c r="J19" s="10">
        <v>79.34</v>
      </c>
      <c r="K19" s="10">
        <v>80.17</v>
      </c>
      <c r="L19" s="10">
        <v>87.79</v>
      </c>
      <c r="M19" s="10">
        <v>79.32</v>
      </c>
      <c r="N19" s="10">
        <v>80.34</v>
      </c>
      <c r="O19" s="10">
        <v>79.33</v>
      </c>
      <c r="P19" s="10">
        <v>80.28</v>
      </c>
      <c r="Q19" s="10">
        <v>77.05</v>
      </c>
      <c r="R19" s="10">
        <v>100</v>
      </c>
      <c r="S19" s="10"/>
      <c r="T19" s="10"/>
      <c r="U19" s="10"/>
      <c r="V19" s="10"/>
      <c r="W19" s="10"/>
      <c r="X19" s="10"/>
      <c r="Y19" s="10"/>
      <c r="Z19" s="10"/>
    </row>
    <row r="20" spans="1:26">
      <c r="A20" s="49" t="s">
        <v>59</v>
      </c>
      <c r="B20" s="10">
        <v>78.95</v>
      </c>
      <c r="C20" s="10">
        <v>79.31</v>
      </c>
      <c r="D20" s="10">
        <v>79.45</v>
      </c>
      <c r="E20" s="10">
        <v>95.34</v>
      </c>
      <c r="F20" s="10">
        <v>90.85</v>
      </c>
      <c r="G20" s="10">
        <v>72.76</v>
      </c>
      <c r="H20" s="10">
        <v>79.08</v>
      </c>
      <c r="I20" s="10">
        <v>79.32</v>
      </c>
      <c r="J20" s="10">
        <v>79.17</v>
      </c>
      <c r="K20" s="10">
        <v>80.26</v>
      </c>
      <c r="L20" s="10">
        <v>87.74</v>
      </c>
      <c r="M20" s="10">
        <v>79.37</v>
      </c>
      <c r="N20" s="10">
        <v>80.53</v>
      </c>
      <c r="O20" s="10">
        <v>79.32</v>
      </c>
      <c r="P20" s="10">
        <v>80.07</v>
      </c>
      <c r="Q20" s="10">
        <v>77.57</v>
      </c>
      <c r="R20" s="10">
        <v>95.42</v>
      </c>
      <c r="S20" s="10">
        <v>100</v>
      </c>
      <c r="T20" s="10"/>
      <c r="U20" s="10"/>
      <c r="V20" s="10"/>
      <c r="W20" s="10"/>
      <c r="X20" s="10"/>
      <c r="Y20" s="10"/>
      <c r="Z20" s="10"/>
    </row>
    <row r="21" spans="1:26">
      <c r="A21" s="49" t="s">
        <v>60</v>
      </c>
      <c r="B21" s="10">
        <v>78.37</v>
      </c>
      <c r="C21" s="10">
        <v>79.12</v>
      </c>
      <c r="D21" s="10">
        <v>79.14</v>
      </c>
      <c r="E21" s="10">
        <v>83.37</v>
      </c>
      <c r="F21" s="10">
        <v>82.38</v>
      </c>
      <c r="G21" s="10">
        <v>72.85</v>
      </c>
      <c r="H21" s="10">
        <v>78.02</v>
      </c>
      <c r="I21" s="10">
        <v>79.13</v>
      </c>
      <c r="J21" s="10">
        <v>78.63</v>
      </c>
      <c r="K21" s="10">
        <v>78.92</v>
      </c>
      <c r="L21" s="10">
        <v>82.69</v>
      </c>
      <c r="M21" s="10">
        <v>78.81</v>
      </c>
      <c r="N21" s="10">
        <v>79.54</v>
      </c>
      <c r="O21" s="10">
        <v>78.93</v>
      </c>
      <c r="P21" s="10">
        <v>79.39</v>
      </c>
      <c r="Q21" s="10">
        <v>77.1</v>
      </c>
      <c r="R21" s="10">
        <v>82.89</v>
      </c>
      <c r="S21" s="10">
        <v>82.98</v>
      </c>
      <c r="T21" s="10">
        <v>100</v>
      </c>
      <c r="U21" s="10"/>
      <c r="V21" s="10"/>
      <c r="W21" s="10"/>
      <c r="X21" s="10"/>
      <c r="Y21" s="10"/>
      <c r="Z21" s="10"/>
    </row>
    <row r="22" spans="1:26">
      <c r="A22" s="49" t="s">
        <v>61</v>
      </c>
      <c r="B22" s="10">
        <v>74.39</v>
      </c>
      <c r="C22" s="10">
        <v>74.63</v>
      </c>
      <c r="D22" s="10">
        <v>74.45</v>
      </c>
      <c r="E22" s="10">
        <v>75.9</v>
      </c>
      <c r="F22" s="10">
        <v>75.73</v>
      </c>
      <c r="G22" s="10">
        <v>75</v>
      </c>
      <c r="H22" s="10">
        <v>74.2</v>
      </c>
      <c r="I22" s="10">
        <v>74.36</v>
      </c>
      <c r="J22" s="10">
        <v>74.55</v>
      </c>
      <c r="K22" s="10">
        <v>74.99</v>
      </c>
      <c r="L22" s="10">
        <v>76.19</v>
      </c>
      <c r="M22" s="10">
        <v>74.74</v>
      </c>
      <c r="N22" s="10">
        <v>75.23</v>
      </c>
      <c r="O22" s="10">
        <v>74.38</v>
      </c>
      <c r="P22" s="10">
        <v>75.05</v>
      </c>
      <c r="Q22" s="10">
        <v>78.93</v>
      </c>
      <c r="R22" s="10">
        <v>75.87</v>
      </c>
      <c r="S22" s="10">
        <v>75.89</v>
      </c>
      <c r="T22" s="10">
        <v>75.38</v>
      </c>
      <c r="U22" s="10">
        <v>100</v>
      </c>
      <c r="V22" s="10"/>
      <c r="W22" s="10"/>
      <c r="X22" s="10"/>
      <c r="Y22" s="10"/>
      <c r="Z22" s="10"/>
    </row>
    <row r="23" spans="1:26">
      <c r="A23" s="49" t="s">
        <v>62</v>
      </c>
      <c r="B23" s="10">
        <v>74.56</v>
      </c>
      <c r="C23" s="10">
        <v>74.78</v>
      </c>
      <c r="D23" s="10">
        <v>74.24</v>
      </c>
      <c r="E23" s="10">
        <v>75.89</v>
      </c>
      <c r="F23" s="10">
        <v>75.81</v>
      </c>
      <c r="G23" s="10">
        <v>74.93</v>
      </c>
      <c r="H23" s="10">
        <v>74.13</v>
      </c>
      <c r="I23" s="10">
        <v>74.09</v>
      </c>
      <c r="J23" s="10">
        <v>74.5</v>
      </c>
      <c r="K23" s="10">
        <v>75.14</v>
      </c>
      <c r="L23" s="10">
        <v>75.69</v>
      </c>
      <c r="M23" s="10">
        <v>74.7</v>
      </c>
      <c r="N23" s="10">
        <v>75.42</v>
      </c>
      <c r="O23" s="10">
        <v>74.28</v>
      </c>
      <c r="P23" s="10">
        <v>75.33</v>
      </c>
      <c r="Q23" s="10">
        <v>78.67</v>
      </c>
      <c r="R23" s="10">
        <v>75.74</v>
      </c>
      <c r="S23" s="10">
        <v>75.58</v>
      </c>
      <c r="T23" s="10">
        <v>75.23</v>
      </c>
      <c r="U23" s="10">
        <v>94.79</v>
      </c>
      <c r="V23" s="10">
        <v>100</v>
      </c>
      <c r="W23" s="10"/>
      <c r="X23" s="10"/>
      <c r="Y23" s="10"/>
      <c r="Z23" s="10"/>
    </row>
    <row r="24" spans="1:26">
      <c r="A24" s="47" t="s">
        <v>63</v>
      </c>
      <c r="B24" s="10">
        <v>79.95</v>
      </c>
      <c r="C24" s="10">
        <v>80.15</v>
      </c>
      <c r="D24" s="10">
        <v>80.44</v>
      </c>
      <c r="E24" s="10">
        <v>93.25</v>
      </c>
      <c r="F24" s="10">
        <v>91.95</v>
      </c>
      <c r="G24" s="10">
        <v>73.6</v>
      </c>
      <c r="H24" s="10">
        <v>79.95</v>
      </c>
      <c r="I24" s="10">
        <v>80.38</v>
      </c>
      <c r="J24" s="10">
        <v>80.01</v>
      </c>
      <c r="K24" s="10">
        <v>80.82</v>
      </c>
      <c r="L24" s="10">
        <v>88.91</v>
      </c>
      <c r="M24" s="10">
        <v>80.21</v>
      </c>
      <c r="N24" s="10">
        <v>81</v>
      </c>
      <c r="O24" s="10">
        <v>80.15</v>
      </c>
      <c r="P24" s="10">
        <v>80.77</v>
      </c>
      <c r="Q24" s="10">
        <v>78.19</v>
      </c>
      <c r="R24" s="10">
        <v>93.27</v>
      </c>
      <c r="S24" s="10">
        <v>93.25</v>
      </c>
      <c r="T24" s="10">
        <v>83.98</v>
      </c>
      <c r="U24" s="10">
        <v>76.69</v>
      </c>
      <c r="V24" s="10">
        <v>76.17</v>
      </c>
      <c r="W24" s="10">
        <v>100</v>
      </c>
      <c r="X24" s="10"/>
      <c r="Y24" s="10"/>
      <c r="Z24" s="10"/>
    </row>
    <row r="25" spans="1:26">
      <c r="A25" s="49" t="s">
        <v>64</v>
      </c>
      <c r="B25" s="10">
        <v>74.78</v>
      </c>
      <c r="C25" s="10">
        <v>74.77</v>
      </c>
      <c r="D25" s="10">
        <v>74.72</v>
      </c>
      <c r="E25" s="10">
        <v>76.21</v>
      </c>
      <c r="F25" s="10">
        <v>75.91</v>
      </c>
      <c r="G25" s="10">
        <v>75.38</v>
      </c>
      <c r="H25" s="10">
        <v>74.23</v>
      </c>
      <c r="I25" s="10">
        <v>74.75</v>
      </c>
      <c r="J25" s="10">
        <v>74.85</v>
      </c>
      <c r="K25" s="10">
        <v>74.83</v>
      </c>
      <c r="L25" s="10">
        <v>75.97</v>
      </c>
      <c r="M25" s="10">
        <v>74.85</v>
      </c>
      <c r="N25" s="10">
        <v>75.26</v>
      </c>
      <c r="O25" s="10">
        <v>74.54</v>
      </c>
      <c r="P25" s="10">
        <v>74.83</v>
      </c>
      <c r="Q25" s="10">
        <v>77.86</v>
      </c>
      <c r="R25" s="10">
        <v>75.69</v>
      </c>
      <c r="S25" s="10">
        <v>75.88</v>
      </c>
      <c r="T25" s="10">
        <v>75.95</v>
      </c>
      <c r="U25" s="10">
        <v>79.18</v>
      </c>
      <c r="V25" s="10">
        <v>79.25</v>
      </c>
      <c r="W25" s="10">
        <v>76.99</v>
      </c>
      <c r="X25" s="10">
        <v>100</v>
      </c>
      <c r="Y25" s="10"/>
      <c r="Z25" s="10"/>
    </row>
    <row r="26" spans="1:26">
      <c r="A26" s="49" t="s">
        <v>65</v>
      </c>
      <c r="B26" s="10">
        <v>77.88</v>
      </c>
      <c r="C26" s="10">
        <v>77.55</v>
      </c>
      <c r="D26" s="10">
        <v>85.85</v>
      </c>
      <c r="E26" s="10">
        <v>79.7</v>
      </c>
      <c r="F26" s="10">
        <v>79.38</v>
      </c>
      <c r="G26" s="10">
        <v>72.32</v>
      </c>
      <c r="H26" s="10">
        <v>77.75</v>
      </c>
      <c r="I26" s="10">
        <v>85.74</v>
      </c>
      <c r="J26" s="10">
        <v>87.58</v>
      </c>
      <c r="K26" s="10">
        <v>78.19</v>
      </c>
      <c r="L26" s="10">
        <v>79.4</v>
      </c>
      <c r="M26" s="10">
        <v>87.51</v>
      </c>
      <c r="N26" s="10">
        <v>78.45</v>
      </c>
      <c r="O26" s="10">
        <v>87.56</v>
      </c>
      <c r="P26" s="10">
        <v>78.52</v>
      </c>
      <c r="Q26" s="10">
        <v>75.86</v>
      </c>
      <c r="R26" s="10">
        <v>79.5</v>
      </c>
      <c r="S26" s="10">
        <v>79.55</v>
      </c>
      <c r="T26" s="10">
        <v>79.28</v>
      </c>
      <c r="U26" s="10">
        <v>74.8</v>
      </c>
      <c r="V26" s="10">
        <v>74.39</v>
      </c>
      <c r="W26" s="10">
        <v>80.62</v>
      </c>
      <c r="X26" s="10">
        <v>74.97</v>
      </c>
      <c r="Y26" s="10">
        <v>100</v>
      </c>
      <c r="Z26" s="10"/>
    </row>
    <row r="27" spans="1:26">
      <c r="A27" s="49" t="s">
        <v>66</v>
      </c>
      <c r="B27" s="36">
        <v>77.71</v>
      </c>
      <c r="C27" s="36">
        <v>78.15</v>
      </c>
      <c r="D27" s="36">
        <v>85.63</v>
      </c>
      <c r="E27" s="36">
        <v>79.55</v>
      </c>
      <c r="F27" s="36">
        <v>79.08</v>
      </c>
      <c r="G27" s="36">
        <v>71.93</v>
      </c>
      <c r="H27" s="36">
        <v>77.41</v>
      </c>
      <c r="I27" s="36">
        <v>85.54</v>
      </c>
      <c r="J27" s="36">
        <v>89.72</v>
      </c>
      <c r="K27" s="36">
        <v>78.22</v>
      </c>
      <c r="L27" s="36">
        <v>79.43</v>
      </c>
      <c r="M27" s="36">
        <v>94.96</v>
      </c>
      <c r="N27" s="36">
        <v>78.53</v>
      </c>
      <c r="O27" s="36">
        <v>98.95</v>
      </c>
      <c r="P27" s="36">
        <v>78.46</v>
      </c>
      <c r="Q27" s="36">
        <v>75.58</v>
      </c>
      <c r="R27" s="36">
        <v>79.55</v>
      </c>
      <c r="S27" s="36">
        <v>79.55</v>
      </c>
      <c r="T27" s="36">
        <v>79.14</v>
      </c>
      <c r="U27" s="36">
        <v>74.51</v>
      </c>
      <c r="V27" s="36">
        <v>74.5</v>
      </c>
      <c r="W27" s="36">
        <v>80.44</v>
      </c>
      <c r="X27" s="36">
        <v>74.7</v>
      </c>
      <c r="Y27" s="36">
        <v>87.93</v>
      </c>
      <c r="Z27" s="36">
        <v>100</v>
      </c>
    </row>
    <row r="28" spans="1:26">
      <c r="A28" s="48"/>
      <c r="B28" s="49" t="s">
        <v>42</v>
      </c>
      <c r="C28" s="49" t="s">
        <v>43</v>
      </c>
      <c r="D28" s="49" t="s">
        <v>44</v>
      </c>
      <c r="E28" s="49" t="s">
        <v>45</v>
      </c>
      <c r="F28" s="49" t="s">
        <v>46</v>
      </c>
      <c r="G28" s="49" t="s">
        <v>47</v>
      </c>
      <c r="H28" s="49" t="s">
        <v>48</v>
      </c>
      <c r="I28" s="49" t="s">
        <v>49</v>
      </c>
      <c r="J28" s="49" t="s">
        <v>50</v>
      </c>
      <c r="K28" s="49" t="s">
        <v>51</v>
      </c>
      <c r="L28" s="49" t="s">
        <v>52</v>
      </c>
      <c r="M28" s="49" t="s">
        <v>53</v>
      </c>
      <c r="N28" s="49" t="s">
        <v>54</v>
      </c>
      <c r="O28" s="49" t="s">
        <v>55</v>
      </c>
      <c r="P28" s="49" t="s">
        <v>56</v>
      </c>
      <c r="Q28" s="49" t="s">
        <v>57</v>
      </c>
      <c r="R28" s="49" t="s">
        <v>58</v>
      </c>
      <c r="S28" s="49" t="s">
        <v>59</v>
      </c>
      <c r="T28" s="49" t="s">
        <v>60</v>
      </c>
      <c r="U28" s="49" t="s">
        <v>61</v>
      </c>
      <c r="V28" s="49" t="s">
        <v>62</v>
      </c>
      <c r="W28" s="47" t="s">
        <v>63</v>
      </c>
      <c r="X28" s="49" t="s">
        <v>64</v>
      </c>
      <c r="Y28" s="49" t="s">
        <v>65</v>
      </c>
      <c r="Z28" s="49" t="s">
        <v>66</v>
      </c>
    </row>
    <row r="30" spans="1:26">
      <c r="A30" s="31" t="s">
        <v>67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>
      <c r="A31" s="32" t="s">
        <v>42</v>
      </c>
      <c r="B31" s="32">
        <v>100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 t="s">
        <v>48</v>
      </c>
      <c r="B32" s="52">
        <v>90.5714</v>
      </c>
      <c r="C32" s="32">
        <v>100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 t="s">
        <v>43</v>
      </c>
      <c r="B33" s="32">
        <v>82.1424</v>
      </c>
      <c r="C33" s="32">
        <v>73.8353</v>
      </c>
      <c r="D33" s="32">
        <v>100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 t="s">
        <v>56</v>
      </c>
      <c r="B34" s="32">
        <v>78.9419</v>
      </c>
      <c r="C34" s="32">
        <v>73.9029</v>
      </c>
      <c r="D34" s="32">
        <v>80.8334</v>
      </c>
      <c r="E34" s="32">
        <v>100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 t="s">
        <v>54</v>
      </c>
      <c r="B35" s="32">
        <v>79.2373</v>
      </c>
      <c r="C35" s="32">
        <v>73.8858</v>
      </c>
      <c r="D35" s="32">
        <v>81.6779</v>
      </c>
      <c r="E35" s="32">
        <v>85.4087</v>
      </c>
      <c r="F35" s="32">
        <v>100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 t="s">
        <v>51</v>
      </c>
      <c r="B36" s="32">
        <v>78.9072</v>
      </c>
      <c r="C36" s="32">
        <v>73.7596</v>
      </c>
      <c r="D36" s="32">
        <v>80.9678</v>
      </c>
      <c r="E36" s="32">
        <v>85.2794</v>
      </c>
      <c r="F36" s="32">
        <v>89.0651</v>
      </c>
      <c r="G36" s="32">
        <v>100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1" t="s">
        <v>63</v>
      </c>
      <c r="B37" s="32">
        <v>75.6963</v>
      </c>
      <c r="C37" s="32">
        <v>74.4351</v>
      </c>
      <c r="D37" s="32">
        <v>76.8062</v>
      </c>
      <c r="E37" s="32">
        <v>76.9189</v>
      </c>
      <c r="F37" s="32">
        <v>77.3556</v>
      </c>
      <c r="G37" s="32">
        <v>77.1046</v>
      </c>
      <c r="H37" s="32">
        <v>100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 t="s">
        <v>45</v>
      </c>
      <c r="B38" s="32">
        <v>75.4959</v>
      </c>
      <c r="C38" s="32">
        <v>74.4058</v>
      </c>
      <c r="D38" s="32">
        <v>76.5879</v>
      </c>
      <c r="E38" s="32">
        <v>76.9683</v>
      </c>
      <c r="F38" s="32">
        <v>77.1484</v>
      </c>
      <c r="G38" s="32">
        <v>76.9589</v>
      </c>
      <c r="H38" s="32">
        <v>92.3407</v>
      </c>
      <c r="I38" s="32">
        <v>100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 t="s">
        <v>59</v>
      </c>
      <c r="B39" s="32">
        <v>75.4102</v>
      </c>
      <c r="C39" s="32">
        <v>74.2511</v>
      </c>
      <c r="D39" s="32">
        <v>76.4505</v>
      </c>
      <c r="E39" s="32">
        <v>76.8738</v>
      </c>
      <c r="F39" s="32">
        <v>76.998</v>
      </c>
      <c r="G39" s="32">
        <v>76.9275</v>
      </c>
      <c r="H39" s="32">
        <v>92.3382</v>
      </c>
      <c r="I39" s="32">
        <v>94.9232</v>
      </c>
      <c r="J39" s="32">
        <v>100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2" t="s">
        <v>58</v>
      </c>
      <c r="B40" s="32">
        <v>75.3109</v>
      </c>
      <c r="C40" s="32">
        <v>74.2475</v>
      </c>
      <c r="D40" s="32">
        <v>76.43</v>
      </c>
      <c r="E40" s="32">
        <v>77.0059</v>
      </c>
      <c r="F40" s="32">
        <v>77.091</v>
      </c>
      <c r="G40" s="32">
        <v>76.8735</v>
      </c>
      <c r="H40" s="32">
        <v>92.514</v>
      </c>
      <c r="I40" s="32">
        <v>94.2755</v>
      </c>
      <c r="J40" s="32">
        <v>94.9135</v>
      </c>
      <c r="K40" s="32">
        <v>100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2" t="s">
        <v>46</v>
      </c>
      <c r="B41" s="32">
        <v>75.5091</v>
      </c>
      <c r="C41" s="32">
        <v>74.39</v>
      </c>
      <c r="D41" s="32">
        <v>76.9015</v>
      </c>
      <c r="E41" s="32">
        <v>77.1854</v>
      </c>
      <c r="F41" s="32">
        <v>77.2746</v>
      </c>
      <c r="G41" s="32">
        <v>77.211</v>
      </c>
      <c r="H41" s="32">
        <v>90.4848</v>
      </c>
      <c r="I41" s="32">
        <v>90.5415</v>
      </c>
      <c r="J41" s="32">
        <v>89.8936</v>
      </c>
      <c r="K41" s="32">
        <v>89.9574</v>
      </c>
      <c r="L41" s="32">
        <v>100</v>
      </c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 t="s">
        <v>52</v>
      </c>
      <c r="B42" s="32">
        <v>75.7016</v>
      </c>
      <c r="C42" s="32">
        <v>74.8524</v>
      </c>
      <c r="D42" s="32">
        <v>76.8723</v>
      </c>
      <c r="E42" s="32">
        <v>77.0507</v>
      </c>
      <c r="F42" s="32">
        <v>77.4728</v>
      </c>
      <c r="G42" s="32">
        <v>77.1478</v>
      </c>
      <c r="H42" s="32">
        <v>86.416</v>
      </c>
      <c r="I42" s="32">
        <v>85.8709</v>
      </c>
      <c r="J42" s="32">
        <v>85.6036</v>
      </c>
      <c r="K42" s="32">
        <v>85.5415</v>
      </c>
      <c r="L42" s="32">
        <v>85.7671</v>
      </c>
      <c r="M42" s="32">
        <v>100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2" t="s">
        <v>60</v>
      </c>
      <c r="B43" s="32">
        <v>75.1653</v>
      </c>
      <c r="C43" s="32">
        <v>74.2</v>
      </c>
      <c r="D43" s="32">
        <v>76.4003</v>
      </c>
      <c r="E43" s="32">
        <v>76.063</v>
      </c>
      <c r="F43" s="32">
        <v>76.4994</v>
      </c>
      <c r="G43" s="32">
        <v>76.009</v>
      </c>
      <c r="H43" s="32">
        <v>80.2564</v>
      </c>
      <c r="I43" s="32">
        <v>79.9628</v>
      </c>
      <c r="J43" s="32">
        <v>79.7679</v>
      </c>
      <c r="K43" s="32">
        <v>79.6898</v>
      </c>
      <c r="L43" s="32">
        <v>79.6304</v>
      </c>
      <c r="M43" s="32">
        <v>80.1309</v>
      </c>
      <c r="N43" s="32">
        <v>100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2" t="s">
        <v>65</v>
      </c>
      <c r="B44" s="32">
        <v>74.5633</v>
      </c>
      <c r="C44" s="32">
        <v>73.6656</v>
      </c>
      <c r="D44" s="32">
        <v>75.2031</v>
      </c>
      <c r="E44" s="32">
        <v>75.1142</v>
      </c>
      <c r="F44" s="32">
        <v>75.3883</v>
      </c>
      <c r="G44" s="32">
        <v>75.1164</v>
      </c>
      <c r="H44" s="32">
        <v>76.2562</v>
      </c>
      <c r="I44" s="32">
        <v>76.2616</v>
      </c>
      <c r="J44" s="32">
        <v>76.1534</v>
      </c>
      <c r="K44" s="32">
        <v>76.3236</v>
      </c>
      <c r="L44" s="32">
        <v>76.4198</v>
      </c>
      <c r="M44" s="32">
        <v>76.5284</v>
      </c>
      <c r="N44" s="32">
        <v>75.9074</v>
      </c>
      <c r="O44" s="32">
        <v>100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 t="s">
        <v>53</v>
      </c>
      <c r="B45" s="32">
        <v>74.3627</v>
      </c>
      <c r="C45" s="32">
        <v>73.5271</v>
      </c>
      <c r="D45" s="32">
        <v>74.9506</v>
      </c>
      <c r="E45" s="32">
        <v>74.8907</v>
      </c>
      <c r="F45" s="32">
        <v>75.0223</v>
      </c>
      <c r="G45" s="32">
        <v>74.8687</v>
      </c>
      <c r="H45" s="32">
        <v>76.0627</v>
      </c>
      <c r="I45" s="32">
        <v>76.024</v>
      </c>
      <c r="J45" s="32">
        <v>76.0817</v>
      </c>
      <c r="K45" s="32">
        <v>76.1841</v>
      </c>
      <c r="L45" s="32">
        <v>76.2062</v>
      </c>
      <c r="M45" s="32">
        <v>76.255</v>
      </c>
      <c r="N45" s="32">
        <v>75.6061</v>
      </c>
      <c r="O45" s="32">
        <v>84.6772</v>
      </c>
      <c r="P45" s="32">
        <v>100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 t="s">
        <v>55</v>
      </c>
      <c r="B46" s="32">
        <v>74.7576</v>
      </c>
      <c r="C46" s="32">
        <v>73.6064</v>
      </c>
      <c r="D46" s="32">
        <v>75.229</v>
      </c>
      <c r="E46" s="32">
        <v>75.3327</v>
      </c>
      <c r="F46" s="32">
        <v>75.5471</v>
      </c>
      <c r="G46" s="32">
        <v>76.153</v>
      </c>
      <c r="H46" s="32">
        <v>76.3603</v>
      </c>
      <c r="I46" s="32">
        <v>76.2208</v>
      </c>
      <c r="J46" s="32">
        <v>76.2827</v>
      </c>
      <c r="K46" s="32">
        <v>76.2681</v>
      </c>
      <c r="L46" s="32">
        <v>76.2822</v>
      </c>
      <c r="M46" s="32">
        <v>76.1673</v>
      </c>
      <c r="N46" s="32">
        <v>75.7592</v>
      </c>
      <c r="O46" s="32">
        <v>84.7442</v>
      </c>
      <c r="P46" s="32">
        <v>94.0221</v>
      </c>
      <c r="Q46" s="32">
        <v>100</v>
      </c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 t="s">
        <v>66</v>
      </c>
      <c r="B47" s="32">
        <v>74.4461</v>
      </c>
      <c r="C47" s="32">
        <v>73.455</v>
      </c>
      <c r="D47" s="32">
        <v>74.8875</v>
      </c>
      <c r="E47" s="32">
        <v>74.9548</v>
      </c>
      <c r="F47" s="32">
        <v>75.1267</v>
      </c>
      <c r="G47" s="32">
        <v>75.0253</v>
      </c>
      <c r="H47" s="32">
        <v>76.1714</v>
      </c>
      <c r="I47" s="32">
        <v>76.1081</v>
      </c>
      <c r="J47" s="32">
        <v>76.2304</v>
      </c>
      <c r="K47" s="32">
        <v>76.2103</v>
      </c>
      <c r="L47" s="32">
        <v>76.0357</v>
      </c>
      <c r="M47" s="32">
        <v>76.0957</v>
      </c>
      <c r="N47" s="32">
        <v>75.62</v>
      </c>
      <c r="O47" s="32">
        <v>85.1185</v>
      </c>
      <c r="P47" s="32">
        <v>94.2357</v>
      </c>
      <c r="Q47" s="32">
        <v>99.0819</v>
      </c>
      <c r="R47" s="32">
        <v>100</v>
      </c>
      <c r="S47" s="32"/>
      <c r="T47" s="32"/>
      <c r="U47" s="32"/>
      <c r="V47" s="32"/>
      <c r="W47" s="32"/>
      <c r="X47" s="32"/>
      <c r="Y47" s="32"/>
      <c r="Z47" s="32"/>
    </row>
    <row r="48" spans="1:26">
      <c r="A48" s="32" t="s">
        <v>50</v>
      </c>
      <c r="B48" s="32">
        <v>74.4742</v>
      </c>
      <c r="C48" s="32">
        <v>73.4464</v>
      </c>
      <c r="D48" s="32">
        <v>75.2144</v>
      </c>
      <c r="E48" s="32">
        <v>74.8573</v>
      </c>
      <c r="F48" s="32">
        <v>75.1559</v>
      </c>
      <c r="G48" s="32">
        <v>74.8074</v>
      </c>
      <c r="H48" s="32">
        <v>75.9305</v>
      </c>
      <c r="I48" s="32">
        <v>76.0178</v>
      </c>
      <c r="J48" s="32">
        <v>75.6586</v>
      </c>
      <c r="K48" s="32">
        <v>75.8524</v>
      </c>
      <c r="L48" s="32">
        <v>76.1094</v>
      </c>
      <c r="M48" s="32">
        <v>76.2004</v>
      </c>
      <c r="N48" s="32">
        <v>75.6691</v>
      </c>
      <c r="O48" s="32">
        <v>84.3184</v>
      </c>
      <c r="P48" s="32">
        <v>87.3377</v>
      </c>
      <c r="Q48" s="32">
        <v>87.4329</v>
      </c>
      <c r="R48" s="32">
        <v>87.3671</v>
      </c>
      <c r="S48" s="32">
        <v>100</v>
      </c>
      <c r="T48" s="32"/>
      <c r="U48" s="32"/>
      <c r="V48" s="32"/>
      <c r="W48" s="32"/>
      <c r="X48" s="32"/>
      <c r="Y48" s="32"/>
      <c r="Z48" s="32"/>
    </row>
    <row r="49" spans="1:26">
      <c r="A49" s="32" t="s">
        <v>44</v>
      </c>
      <c r="B49" s="32">
        <v>74.3747</v>
      </c>
      <c r="C49" s="32">
        <v>73.4208</v>
      </c>
      <c r="D49" s="32">
        <v>75.1066</v>
      </c>
      <c r="E49" s="32">
        <v>74.9034</v>
      </c>
      <c r="F49" s="32">
        <v>75.1868</v>
      </c>
      <c r="G49" s="32">
        <v>74.8043</v>
      </c>
      <c r="H49" s="32">
        <v>76.0789</v>
      </c>
      <c r="I49" s="32">
        <v>76.1096</v>
      </c>
      <c r="J49" s="32">
        <v>75.9224</v>
      </c>
      <c r="K49" s="32">
        <v>76.0553</v>
      </c>
      <c r="L49" s="32">
        <v>76.1679</v>
      </c>
      <c r="M49" s="32">
        <v>76.2985</v>
      </c>
      <c r="N49" s="32">
        <v>75.853</v>
      </c>
      <c r="O49" s="32">
        <v>82.464</v>
      </c>
      <c r="P49" s="32">
        <v>82.1501</v>
      </c>
      <c r="Q49" s="32">
        <v>82.466</v>
      </c>
      <c r="R49" s="32">
        <v>82.2892</v>
      </c>
      <c r="S49" s="32">
        <v>82.6616</v>
      </c>
      <c r="T49" s="32">
        <v>100</v>
      </c>
      <c r="U49" s="32"/>
      <c r="V49" s="32"/>
      <c r="W49" s="32"/>
      <c r="X49" s="32"/>
      <c r="Y49" s="32"/>
      <c r="Z49" s="32"/>
    </row>
    <row r="50" spans="1:26">
      <c r="A50" s="32" t="s">
        <v>49</v>
      </c>
      <c r="B50" s="32">
        <v>74.4408</v>
      </c>
      <c r="C50" s="32">
        <v>73.4769</v>
      </c>
      <c r="D50" s="32">
        <v>75.2075</v>
      </c>
      <c r="E50" s="32">
        <v>75.1244</v>
      </c>
      <c r="F50" s="32">
        <v>75.1837</v>
      </c>
      <c r="G50" s="32">
        <v>74.9698</v>
      </c>
      <c r="H50" s="32">
        <v>76.1392</v>
      </c>
      <c r="I50" s="32">
        <v>76.2896</v>
      </c>
      <c r="J50" s="32">
        <v>76.0222</v>
      </c>
      <c r="K50" s="32">
        <v>76.0884</v>
      </c>
      <c r="L50" s="32">
        <v>76.3032</v>
      </c>
      <c r="M50" s="32">
        <v>76.4493</v>
      </c>
      <c r="N50" s="32">
        <v>76.1168</v>
      </c>
      <c r="O50" s="32">
        <v>82.3873</v>
      </c>
      <c r="P50" s="32">
        <v>82.1895</v>
      </c>
      <c r="Q50" s="32">
        <v>82.4549</v>
      </c>
      <c r="R50" s="32">
        <v>82.1366</v>
      </c>
      <c r="S50" s="32">
        <v>82.5116</v>
      </c>
      <c r="T50" s="32">
        <v>98.3678</v>
      </c>
      <c r="U50" s="32">
        <v>100</v>
      </c>
      <c r="V50" s="32"/>
      <c r="W50" s="32"/>
      <c r="X50" s="32"/>
      <c r="Y50" s="32"/>
      <c r="Z50" s="32"/>
    </row>
    <row r="51" spans="1:26">
      <c r="A51" s="32" t="s">
        <v>57</v>
      </c>
      <c r="B51" s="32">
        <v>73.7135</v>
      </c>
      <c r="C51" s="32">
        <v>77.1326</v>
      </c>
      <c r="D51" s="32">
        <v>74.319</v>
      </c>
      <c r="E51" s="32">
        <v>74.2339</v>
      </c>
      <c r="F51" s="32">
        <v>74.4059</v>
      </c>
      <c r="G51" s="32">
        <v>74.2785</v>
      </c>
      <c r="H51" s="32">
        <v>75.2474</v>
      </c>
      <c r="I51" s="32">
        <v>75.1532</v>
      </c>
      <c r="J51" s="32">
        <v>75.1833</v>
      </c>
      <c r="K51" s="32">
        <v>75.012</v>
      </c>
      <c r="L51" s="32">
        <v>74.9172</v>
      </c>
      <c r="M51" s="32">
        <v>75.3698</v>
      </c>
      <c r="N51" s="32">
        <v>74.9481</v>
      </c>
      <c r="O51" s="32">
        <v>73.7702</v>
      </c>
      <c r="P51" s="32">
        <v>73.7206</v>
      </c>
      <c r="Q51" s="32">
        <v>73.81</v>
      </c>
      <c r="R51" s="32">
        <v>73.8016</v>
      </c>
      <c r="S51" s="32">
        <v>73.6698</v>
      </c>
      <c r="T51" s="32">
        <v>73.8099</v>
      </c>
      <c r="U51" s="32">
        <v>73.8521</v>
      </c>
      <c r="V51" s="32">
        <v>100</v>
      </c>
      <c r="W51" s="32"/>
      <c r="X51" s="32"/>
      <c r="Y51" s="32"/>
      <c r="Z51" s="32"/>
    </row>
    <row r="52" spans="1:26">
      <c r="A52" s="32" t="s">
        <v>64</v>
      </c>
      <c r="B52" s="32">
        <v>73.3129</v>
      </c>
      <c r="C52" s="32">
        <v>77.2471</v>
      </c>
      <c r="D52" s="32">
        <v>73.8303</v>
      </c>
      <c r="E52" s="32">
        <v>73.716</v>
      </c>
      <c r="F52" s="32">
        <v>73.8234</v>
      </c>
      <c r="G52" s="32">
        <v>73.6696</v>
      </c>
      <c r="H52" s="32">
        <v>74.3488</v>
      </c>
      <c r="I52" s="32">
        <v>74.5342</v>
      </c>
      <c r="J52" s="32">
        <v>74.2192</v>
      </c>
      <c r="K52" s="32">
        <v>74.3039</v>
      </c>
      <c r="L52" s="32">
        <v>74.4029</v>
      </c>
      <c r="M52" s="32">
        <v>74.8755</v>
      </c>
      <c r="N52" s="32">
        <v>74.605</v>
      </c>
      <c r="O52" s="32">
        <v>73.893</v>
      </c>
      <c r="P52" s="32">
        <v>73.587</v>
      </c>
      <c r="Q52" s="32">
        <v>73.5249</v>
      </c>
      <c r="R52" s="32">
        <v>73.4919</v>
      </c>
      <c r="S52" s="32">
        <v>73.5628</v>
      </c>
      <c r="T52" s="32">
        <v>73.6145</v>
      </c>
      <c r="U52" s="32">
        <v>73.8262</v>
      </c>
      <c r="V52" s="32">
        <v>76.0731</v>
      </c>
      <c r="W52" s="32">
        <v>100</v>
      </c>
      <c r="X52" s="32"/>
      <c r="Y52" s="32"/>
      <c r="Z52" s="32"/>
    </row>
    <row r="53" spans="1:26">
      <c r="A53" s="32" t="s">
        <v>62</v>
      </c>
      <c r="B53" s="32">
        <v>73.3852</v>
      </c>
      <c r="C53" s="32">
        <v>75.5176</v>
      </c>
      <c r="D53" s="32">
        <v>73.7614</v>
      </c>
      <c r="E53" s="32">
        <v>73.942</v>
      </c>
      <c r="F53" s="32">
        <v>74.0094</v>
      </c>
      <c r="G53" s="32">
        <v>73.9802</v>
      </c>
      <c r="H53" s="32">
        <v>74.3477</v>
      </c>
      <c r="I53" s="32">
        <v>74.7351</v>
      </c>
      <c r="J53" s="32">
        <v>74.4388</v>
      </c>
      <c r="K53" s="32">
        <v>74.5325</v>
      </c>
      <c r="L53" s="32">
        <v>74.545</v>
      </c>
      <c r="M53" s="32">
        <v>74.7715</v>
      </c>
      <c r="N53" s="32">
        <v>74.3067</v>
      </c>
      <c r="O53" s="32">
        <v>73.6141</v>
      </c>
      <c r="P53" s="32">
        <v>73.5249</v>
      </c>
      <c r="Q53" s="32">
        <v>73.6182</v>
      </c>
      <c r="R53" s="32">
        <v>73.6285</v>
      </c>
      <c r="S53" s="32">
        <v>73.5455</v>
      </c>
      <c r="T53" s="32">
        <v>73.5012</v>
      </c>
      <c r="U53" s="32">
        <v>73.5948</v>
      </c>
      <c r="V53" s="32">
        <v>76.9768</v>
      </c>
      <c r="W53" s="32">
        <v>77.3431</v>
      </c>
      <c r="X53" s="32">
        <v>100</v>
      </c>
      <c r="Y53" s="32"/>
      <c r="Z53" s="32"/>
    </row>
    <row r="54" spans="1:26">
      <c r="A54" s="32" t="s">
        <v>61</v>
      </c>
      <c r="B54" s="32">
        <v>73.4624</v>
      </c>
      <c r="C54" s="32">
        <v>74.4431</v>
      </c>
      <c r="D54" s="32">
        <v>73.8962</v>
      </c>
      <c r="E54" s="32">
        <v>73.8081</v>
      </c>
      <c r="F54" s="32">
        <v>73.9518</v>
      </c>
      <c r="G54" s="32">
        <v>73.7457</v>
      </c>
      <c r="H54" s="32">
        <v>74.4372</v>
      </c>
      <c r="I54" s="32">
        <v>74.4542</v>
      </c>
      <c r="J54" s="32">
        <v>74.3625</v>
      </c>
      <c r="K54" s="32">
        <v>74.4286</v>
      </c>
      <c r="L54" s="32">
        <v>74.5279</v>
      </c>
      <c r="M54" s="32">
        <v>74.8959</v>
      </c>
      <c r="N54" s="32">
        <v>74.522</v>
      </c>
      <c r="O54" s="32">
        <v>73.8383</v>
      </c>
      <c r="P54" s="32">
        <v>73.5862</v>
      </c>
      <c r="Q54" s="32">
        <v>73.5302</v>
      </c>
      <c r="R54" s="32">
        <v>73.4686</v>
      </c>
      <c r="S54" s="32">
        <v>73.5764</v>
      </c>
      <c r="T54" s="32">
        <v>73.5935</v>
      </c>
      <c r="U54" s="32">
        <v>73.7807</v>
      </c>
      <c r="V54" s="32">
        <v>77.1637</v>
      </c>
      <c r="W54" s="32">
        <v>77.3602</v>
      </c>
      <c r="X54" s="32">
        <v>94.5396</v>
      </c>
      <c r="Y54" s="32">
        <v>100</v>
      </c>
      <c r="Z54" s="32"/>
    </row>
    <row r="55" spans="1:26">
      <c r="A55" s="32" t="s">
        <v>47</v>
      </c>
      <c r="B55" s="32">
        <v>72.3677</v>
      </c>
      <c r="C55" s="32">
        <v>74.5641</v>
      </c>
      <c r="D55" s="32">
        <v>73.0736</v>
      </c>
      <c r="E55" s="32">
        <v>72.4931</v>
      </c>
      <c r="F55" s="32">
        <v>72.6605</v>
      </c>
      <c r="G55" s="32">
        <v>72.567</v>
      </c>
      <c r="H55" s="32">
        <v>72.7718</v>
      </c>
      <c r="I55" s="32">
        <v>73.1407</v>
      </c>
      <c r="J55" s="32">
        <v>72.6396</v>
      </c>
      <c r="K55" s="32">
        <v>72.6765</v>
      </c>
      <c r="L55" s="32">
        <v>72.9826</v>
      </c>
      <c r="M55" s="32">
        <v>73.6372</v>
      </c>
      <c r="N55" s="32">
        <v>73.3665</v>
      </c>
      <c r="O55" s="32">
        <v>72.9403</v>
      </c>
      <c r="P55" s="32">
        <v>72.7743</v>
      </c>
      <c r="Q55" s="32">
        <v>72.5265</v>
      </c>
      <c r="R55" s="32">
        <v>72.3862</v>
      </c>
      <c r="S55" s="32">
        <v>72.9155</v>
      </c>
      <c r="T55" s="32">
        <v>72.6998</v>
      </c>
      <c r="U55" s="32">
        <v>72.9993</v>
      </c>
      <c r="V55" s="32">
        <v>74.2713</v>
      </c>
      <c r="W55" s="32">
        <v>74.5301</v>
      </c>
      <c r="X55" s="32">
        <v>74.4622</v>
      </c>
      <c r="Y55" s="32">
        <v>74.6426</v>
      </c>
      <c r="Z55" s="32">
        <v>100</v>
      </c>
    </row>
    <row r="56" spans="1:26">
      <c r="A56" s="51"/>
      <c r="B56" s="32" t="s">
        <v>42</v>
      </c>
      <c r="C56" s="32" t="s">
        <v>48</v>
      </c>
      <c r="D56" s="32" t="s">
        <v>43</v>
      </c>
      <c r="E56" s="32" t="s">
        <v>56</v>
      </c>
      <c r="F56" s="32" t="s">
        <v>54</v>
      </c>
      <c r="G56" s="32" t="s">
        <v>51</v>
      </c>
      <c r="H56" s="31" t="s">
        <v>63</v>
      </c>
      <c r="I56" s="32" t="s">
        <v>45</v>
      </c>
      <c r="J56" s="32" t="s">
        <v>59</v>
      </c>
      <c r="K56" s="32" t="s">
        <v>58</v>
      </c>
      <c r="L56" s="32" t="s">
        <v>46</v>
      </c>
      <c r="M56" s="32" t="s">
        <v>52</v>
      </c>
      <c r="N56" s="32" t="s">
        <v>60</v>
      </c>
      <c r="O56" s="32" t="s">
        <v>65</v>
      </c>
      <c r="P56" s="32" t="s">
        <v>53</v>
      </c>
      <c r="Q56" s="32" t="s">
        <v>55</v>
      </c>
      <c r="R56" s="32" t="s">
        <v>66</v>
      </c>
      <c r="S56" s="32" t="s">
        <v>50</v>
      </c>
      <c r="T56" s="32" t="s">
        <v>44</v>
      </c>
      <c r="U56" s="32" t="s">
        <v>49</v>
      </c>
      <c r="V56" s="32" t="s">
        <v>57</v>
      </c>
      <c r="W56" s="32" t="s">
        <v>64</v>
      </c>
      <c r="X56" s="32" t="s">
        <v>62</v>
      </c>
      <c r="Y56" s="32" t="s">
        <v>61</v>
      </c>
      <c r="Z56" s="32" t="s">
        <v>47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8"/>
  <sheetViews>
    <sheetView zoomScale="70" zoomScaleNormal="70" workbookViewId="0">
      <selection activeCell="C1" sqref="C1"/>
    </sheetView>
  </sheetViews>
  <sheetFormatPr defaultColWidth="8.75454545454545" defaultRowHeight="14"/>
  <cols>
    <col min="1" max="1" width="24" customWidth="1"/>
    <col min="2" max="25" width="10.2727272727273"/>
  </cols>
  <sheetData>
    <row r="1" spans="1:25">
      <c r="A1" s="38" t="s">
        <v>68</v>
      </c>
    </row>
    <row r="2" spans="1:25">
      <c r="A2" s="25" t="s">
        <v>41</v>
      </c>
    </row>
    <row r="3" spans="1:25">
      <c r="A3" s="39" t="s">
        <v>69</v>
      </c>
      <c r="B3" s="40">
        <v>100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</row>
    <row r="4" spans="1:25">
      <c r="A4" s="41" t="s">
        <v>70</v>
      </c>
      <c r="B4" s="40">
        <v>83.85</v>
      </c>
      <c r="C4" s="40">
        <v>100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spans="1:25">
      <c r="A5" s="41" t="s">
        <v>71</v>
      </c>
      <c r="B5" s="40">
        <v>83.66</v>
      </c>
      <c r="C5" s="40">
        <v>88.26</v>
      </c>
      <c r="D5" s="40">
        <v>100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>
      <c r="A6" s="41" t="s">
        <v>72</v>
      </c>
      <c r="B6" s="40">
        <v>83.59</v>
      </c>
      <c r="C6" s="40">
        <v>95.31</v>
      </c>
      <c r="D6" s="40">
        <v>87.94</v>
      </c>
      <c r="E6" s="40">
        <v>100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spans="1:25">
      <c r="A7" s="39" t="s">
        <v>73</v>
      </c>
      <c r="B7" s="40">
        <v>83.42</v>
      </c>
      <c r="C7" s="40">
        <v>88.32</v>
      </c>
      <c r="D7" s="40">
        <v>94.07</v>
      </c>
      <c r="E7" s="40">
        <v>87.98</v>
      </c>
      <c r="F7" s="40">
        <v>100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spans="1:25">
      <c r="A8" s="41" t="s">
        <v>74</v>
      </c>
      <c r="B8" s="40">
        <v>83.41</v>
      </c>
      <c r="C8" s="40">
        <v>95.92</v>
      </c>
      <c r="D8" s="40">
        <v>88.15</v>
      </c>
      <c r="E8" s="40">
        <v>95.68</v>
      </c>
      <c r="F8" s="40">
        <v>88.22</v>
      </c>
      <c r="G8" s="40">
        <v>100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spans="1:25">
      <c r="A9" s="39" t="s">
        <v>75</v>
      </c>
      <c r="B9" s="40">
        <v>83.12</v>
      </c>
      <c r="C9" s="40">
        <v>88.15</v>
      </c>
      <c r="D9" s="40">
        <v>94.04</v>
      </c>
      <c r="E9" s="40">
        <v>87.78</v>
      </c>
      <c r="F9" s="40">
        <v>94.05</v>
      </c>
      <c r="G9" s="40">
        <v>88.22</v>
      </c>
      <c r="H9" s="40">
        <v>100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spans="1:25">
      <c r="A10" s="41" t="s">
        <v>76</v>
      </c>
      <c r="B10" s="40">
        <v>82.35</v>
      </c>
      <c r="C10" s="40">
        <v>86.25</v>
      </c>
      <c r="D10" s="40">
        <v>85.82</v>
      </c>
      <c r="E10" s="40">
        <v>85.73</v>
      </c>
      <c r="F10" s="40">
        <v>86.52</v>
      </c>
      <c r="G10" s="40">
        <v>85.66</v>
      </c>
      <c r="H10" s="40">
        <v>85.93</v>
      </c>
      <c r="I10" s="40">
        <v>100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spans="1:25">
      <c r="A11" s="41" t="s">
        <v>77</v>
      </c>
      <c r="B11" s="40">
        <v>81.73</v>
      </c>
      <c r="C11" s="40">
        <v>85</v>
      </c>
      <c r="D11" s="40">
        <v>85.27</v>
      </c>
      <c r="E11" s="40">
        <v>84.8</v>
      </c>
      <c r="F11" s="40">
        <v>84.82</v>
      </c>
      <c r="G11" s="40">
        <v>84.86</v>
      </c>
      <c r="H11" s="40">
        <v>84.84</v>
      </c>
      <c r="I11" s="40">
        <v>85.67</v>
      </c>
      <c r="J11" s="40">
        <v>100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spans="1:25">
      <c r="A12" s="39" t="s">
        <v>78</v>
      </c>
      <c r="B12" s="40">
        <v>81.57</v>
      </c>
      <c r="C12" s="40">
        <v>85.48</v>
      </c>
      <c r="D12" s="40">
        <v>86.6</v>
      </c>
      <c r="E12" s="40">
        <v>84.8</v>
      </c>
      <c r="F12" s="40">
        <v>86.46</v>
      </c>
      <c r="G12" s="40">
        <v>84.94</v>
      </c>
      <c r="H12" s="40">
        <v>86.36</v>
      </c>
      <c r="I12" s="40">
        <v>84.8</v>
      </c>
      <c r="J12" s="40">
        <v>83.94</v>
      </c>
      <c r="K12" s="40">
        <v>100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spans="1:25">
      <c r="A13" s="41" t="s">
        <v>79</v>
      </c>
      <c r="B13" s="40">
        <v>81.54</v>
      </c>
      <c r="C13" s="40">
        <v>85.84</v>
      </c>
      <c r="D13" s="40">
        <v>85.57</v>
      </c>
      <c r="E13" s="40">
        <v>85.35</v>
      </c>
      <c r="F13" s="40">
        <v>86.26</v>
      </c>
      <c r="G13" s="40">
        <v>85.39</v>
      </c>
      <c r="H13" s="40">
        <v>85.5</v>
      </c>
      <c r="I13" s="40">
        <v>98.77</v>
      </c>
      <c r="J13" s="40">
        <v>85.18</v>
      </c>
      <c r="K13" s="40">
        <v>84.16</v>
      </c>
      <c r="L13" s="40">
        <v>100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spans="1:25">
      <c r="A14" s="39" t="s">
        <v>80</v>
      </c>
      <c r="B14" s="40">
        <v>81.32</v>
      </c>
      <c r="C14" s="40">
        <v>85.14</v>
      </c>
      <c r="D14" s="40">
        <v>85.31</v>
      </c>
      <c r="E14" s="40">
        <v>84.86</v>
      </c>
      <c r="F14" s="40">
        <v>85.15</v>
      </c>
      <c r="G14" s="40">
        <v>84.69</v>
      </c>
      <c r="H14" s="40">
        <v>85.07</v>
      </c>
      <c r="I14" s="40">
        <v>92.92</v>
      </c>
      <c r="J14" s="40">
        <v>84.37</v>
      </c>
      <c r="K14" s="40">
        <v>83.68</v>
      </c>
      <c r="L14" s="40">
        <v>92.67</v>
      </c>
      <c r="M14" s="40">
        <v>100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spans="1:25">
      <c r="A15" s="41" t="s">
        <v>81</v>
      </c>
      <c r="B15" s="40">
        <v>81.04</v>
      </c>
      <c r="C15" s="40">
        <v>84.96</v>
      </c>
      <c r="D15" s="40">
        <v>84.21</v>
      </c>
      <c r="E15" s="40">
        <v>84.45</v>
      </c>
      <c r="F15" s="40">
        <v>85.65</v>
      </c>
      <c r="G15" s="40">
        <v>84.39</v>
      </c>
      <c r="H15" s="40">
        <v>84.15</v>
      </c>
      <c r="I15" s="40">
        <v>85.96</v>
      </c>
      <c r="J15" s="40">
        <v>85.58</v>
      </c>
      <c r="K15" s="40">
        <v>83.63</v>
      </c>
      <c r="L15" s="40">
        <v>85.53</v>
      </c>
      <c r="M15" s="40">
        <v>84.46</v>
      </c>
      <c r="N15" s="40">
        <v>100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spans="1:25">
      <c r="A16" s="41" t="s">
        <v>82</v>
      </c>
      <c r="B16" s="40">
        <v>80.67</v>
      </c>
      <c r="C16" s="40">
        <v>84.03</v>
      </c>
      <c r="D16" s="40">
        <v>83.78</v>
      </c>
      <c r="E16" s="40">
        <v>83.93</v>
      </c>
      <c r="F16" s="40">
        <v>85.28</v>
      </c>
      <c r="G16" s="40">
        <v>83.77</v>
      </c>
      <c r="H16" s="40">
        <v>83.55</v>
      </c>
      <c r="I16" s="40">
        <v>85.56</v>
      </c>
      <c r="J16" s="40">
        <v>85.24</v>
      </c>
      <c r="K16" s="40">
        <v>83.31</v>
      </c>
      <c r="L16" s="40">
        <v>84.97</v>
      </c>
      <c r="M16" s="40">
        <v>84.57</v>
      </c>
      <c r="N16" s="40">
        <v>90.34</v>
      </c>
      <c r="O16" s="40">
        <v>100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spans="1:25">
      <c r="A17" s="41" t="s">
        <v>83</v>
      </c>
      <c r="B17" s="40">
        <v>80.66</v>
      </c>
      <c r="C17" s="40">
        <v>83.27</v>
      </c>
      <c r="D17" s="40">
        <v>83.61</v>
      </c>
      <c r="E17" s="40">
        <v>83.29</v>
      </c>
      <c r="F17" s="40">
        <v>84.26</v>
      </c>
      <c r="G17" s="40">
        <v>82.96</v>
      </c>
      <c r="H17" s="40">
        <v>83.63</v>
      </c>
      <c r="I17" s="40">
        <v>86.72</v>
      </c>
      <c r="J17" s="40">
        <v>83.8</v>
      </c>
      <c r="K17" s="40">
        <v>82.37</v>
      </c>
      <c r="L17" s="40">
        <v>86.12</v>
      </c>
      <c r="M17" s="40">
        <v>85.25</v>
      </c>
      <c r="N17" s="40">
        <v>83.54</v>
      </c>
      <c r="O17" s="40">
        <v>83.2</v>
      </c>
      <c r="P17" s="40">
        <v>100</v>
      </c>
      <c r="Q17" s="40"/>
      <c r="R17" s="40"/>
      <c r="S17" s="40"/>
      <c r="T17" s="40"/>
      <c r="U17" s="40"/>
      <c r="V17" s="40"/>
      <c r="W17" s="40"/>
      <c r="X17" s="40"/>
      <c r="Y17" s="40"/>
    </row>
    <row r="18" spans="1:25">
      <c r="A18" s="41" t="s">
        <v>84</v>
      </c>
      <c r="B18" s="40">
        <v>80.62</v>
      </c>
      <c r="C18" s="40">
        <v>83.81</v>
      </c>
      <c r="D18" s="40">
        <v>83.45</v>
      </c>
      <c r="E18" s="40">
        <v>83.99</v>
      </c>
      <c r="F18" s="40">
        <v>85.33</v>
      </c>
      <c r="G18" s="40">
        <v>83.59</v>
      </c>
      <c r="H18" s="40">
        <v>83.15</v>
      </c>
      <c r="I18" s="40">
        <v>85.46</v>
      </c>
      <c r="J18" s="40">
        <v>85.17</v>
      </c>
      <c r="K18" s="40">
        <v>83.25</v>
      </c>
      <c r="L18" s="40">
        <v>84.74</v>
      </c>
      <c r="M18" s="40">
        <v>84.3</v>
      </c>
      <c r="N18" s="40">
        <v>90.83</v>
      </c>
      <c r="O18" s="40">
        <v>92.59</v>
      </c>
      <c r="P18" s="40">
        <v>83.22</v>
      </c>
      <c r="Q18" s="40">
        <v>100</v>
      </c>
      <c r="R18" s="40"/>
      <c r="S18" s="40"/>
      <c r="T18" s="40"/>
      <c r="U18" s="40"/>
      <c r="V18" s="40"/>
      <c r="W18" s="40"/>
      <c r="X18" s="40"/>
      <c r="Y18" s="40"/>
    </row>
    <row r="19" spans="1:25">
      <c r="A19" s="41" t="s">
        <v>85</v>
      </c>
      <c r="B19" s="40">
        <v>80.56</v>
      </c>
      <c r="C19" s="40">
        <v>84.64</v>
      </c>
      <c r="D19" s="40">
        <v>84.5</v>
      </c>
      <c r="E19" s="40">
        <v>84.62</v>
      </c>
      <c r="F19" s="40">
        <v>84.69</v>
      </c>
      <c r="G19" s="40">
        <v>84.38</v>
      </c>
      <c r="H19" s="40">
        <v>84.57</v>
      </c>
      <c r="I19" s="40">
        <v>83.99</v>
      </c>
      <c r="J19" s="40">
        <v>82.5</v>
      </c>
      <c r="K19" s="40">
        <v>82.36</v>
      </c>
      <c r="L19" s="40">
        <v>83.6</v>
      </c>
      <c r="M19" s="40">
        <v>82.68</v>
      </c>
      <c r="N19" s="40">
        <v>82.17</v>
      </c>
      <c r="O19" s="40">
        <v>82.13</v>
      </c>
      <c r="P19" s="40">
        <v>81.1</v>
      </c>
      <c r="Q19" s="40">
        <v>82.13</v>
      </c>
      <c r="R19" s="40">
        <v>100</v>
      </c>
      <c r="S19" s="40"/>
      <c r="T19" s="40"/>
      <c r="U19" s="40"/>
      <c r="V19" s="40"/>
      <c r="W19" s="40"/>
      <c r="X19" s="40"/>
      <c r="Y19" s="40"/>
    </row>
    <row r="20" spans="1:25">
      <c r="A20" s="41" t="s">
        <v>86</v>
      </c>
      <c r="B20" s="40">
        <v>80.56</v>
      </c>
      <c r="C20" s="40">
        <v>83.09</v>
      </c>
      <c r="D20" s="40">
        <v>83.57</v>
      </c>
      <c r="E20" s="40">
        <v>83.15</v>
      </c>
      <c r="F20" s="40">
        <v>84.55</v>
      </c>
      <c r="G20" s="40">
        <v>82.87</v>
      </c>
      <c r="H20" s="40">
        <v>83.27</v>
      </c>
      <c r="I20" s="40">
        <v>86.69</v>
      </c>
      <c r="J20" s="40">
        <v>83.73</v>
      </c>
      <c r="K20" s="40">
        <v>82.22</v>
      </c>
      <c r="L20" s="40">
        <v>85.92</v>
      </c>
      <c r="M20" s="40">
        <v>85.22</v>
      </c>
      <c r="N20" s="40">
        <v>83.44</v>
      </c>
      <c r="O20" s="40">
        <v>83.25</v>
      </c>
      <c r="P20" s="40">
        <v>97.38</v>
      </c>
      <c r="Q20" s="40">
        <v>83.07</v>
      </c>
      <c r="R20" s="40">
        <v>81.4</v>
      </c>
      <c r="S20" s="40">
        <v>100</v>
      </c>
      <c r="T20" s="40"/>
      <c r="U20" s="40"/>
      <c r="V20" s="40"/>
      <c r="W20" s="40"/>
      <c r="X20" s="40"/>
      <c r="Y20" s="40"/>
    </row>
    <row r="21" spans="1:25">
      <c r="A21" s="41" t="s">
        <v>87</v>
      </c>
      <c r="B21" s="40">
        <v>80.52</v>
      </c>
      <c r="C21" s="40">
        <v>83.87</v>
      </c>
      <c r="D21" s="40">
        <v>84.04</v>
      </c>
      <c r="E21" s="40">
        <v>83.68</v>
      </c>
      <c r="F21" s="40">
        <v>84.22</v>
      </c>
      <c r="G21" s="40">
        <v>83.46</v>
      </c>
      <c r="H21" s="40">
        <v>83.99</v>
      </c>
      <c r="I21" s="40">
        <v>83.34</v>
      </c>
      <c r="J21" s="40">
        <v>82.06</v>
      </c>
      <c r="K21" s="40">
        <v>81.91</v>
      </c>
      <c r="L21" s="40">
        <v>82.64</v>
      </c>
      <c r="M21" s="40">
        <v>82.44</v>
      </c>
      <c r="N21" s="40">
        <v>82.3</v>
      </c>
      <c r="O21" s="40">
        <v>81.95</v>
      </c>
      <c r="P21" s="40">
        <v>80.88</v>
      </c>
      <c r="Q21" s="40">
        <v>81.41</v>
      </c>
      <c r="R21" s="40">
        <v>84.02</v>
      </c>
      <c r="S21" s="40">
        <v>80.91</v>
      </c>
      <c r="T21" s="40">
        <v>100</v>
      </c>
      <c r="U21" s="40"/>
      <c r="V21" s="40"/>
      <c r="W21" s="40"/>
      <c r="X21" s="40"/>
      <c r="Y21" s="40"/>
    </row>
    <row r="22" spans="1:25">
      <c r="A22" s="39" t="s">
        <v>88</v>
      </c>
      <c r="B22" s="40">
        <v>80.33</v>
      </c>
      <c r="C22" s="40">
        <v>83.93</v>
      </c>
      <c r="D22" s="40">
        <v>84.51</v>
      </c>
      <c r="E22" s="40">
        <v>83.67</v>
      </c>
      <c r="F22" s="40">
        <v>87.63</v>
      </c>
      <c r="G22" s="40">
        <v>83.6</v>
      </c>
      <c r="H22" s="40">
        <v>84.16</v>
      </c>
      <c r="I22" s="40">
        <v>87.14</v>
      </c>
      <c r="J22" s="40">
        <v>83.9</v>
      </c>
      <c r="K22" s="40">
        <v>82.94</v>
      </c>
      <c r="L22" s="40">
        <v>86.59</v>
      </c>
      <c r="M22" s="40">
        <v>86.24</v>
      </c>
      <c r="N22" s="40">
        <v>83.77</v>
      </c>
      <c r="O22" s="40">
        <v>83.75</v>
      </c>
      <c r="P22" s="40">
        <v>91.23</v>
      </c>
      <c r="Q22" s="40">
        <v>83.55</v>
      </c>
      <c r="R22" s="40">
        <v>81.6</v>
      </c>
      <c r="S22" s="40">
        <v>91.24</v>
      </c>
      <c r="T22" s="40">
        <v>81.64</v>
      </c>
      <c r="U22" s="40">
        <v>100</v>
      </c>
      <c r="V22" s="40"/>
      <c r="W22" s="40"/>
      <c r="X22" s="40"/>
      <c r="Y22" s="40"/>
    </row>
    <row r="23" spans="1:25">
      <c r="A23" s="41" t="s">
        <v>89</v>
      </c>
      <c r="B23" s="40">
        <v>80.24</v>
      </c>
      <c r="C23" s="40">
        <v>83.7</v>
      </c>
      <c r="D23" s="40">
        <v>83.94</v>
      </c>
      <c r="E23" s="40">
        <v>83.66</v>
      </c>
      <c r="F23" s="40">
        <v>84.43</v>
      </c>
      <c r="G23" s="40">
        <v>83.58</v>
      </c>
      <c r="H23" s="40">
        <v>83.96</v>
      </c>
      <c r="I23" s="40">
        <v>83.35</v>
      </c>
      <c r="J23" s="40">
        <v>81.92</v>
      </c>
      <c r="K23" s="40">
        <v>81.88</v>
      </c>
      <c r="L23" s="40">
        <v>82.75</v>
      </c>
      <c r="M23" s="40">
        <v>82.58</v>
      </c>
      <c r="N23" s="40">
        <v>82.17</v>
      </c>
      <c r="O23" s="40">
        <v>81.89</v>
      </c>
      <c r="P23" s="40">
        <v>80.61</v>
      </c>
      <c r="Q23" s="40">
        <v>81.42</v>
      </c>
      <c r="R23" s="40">
        <v>83.85</v>
      </c>
      <c r="S23" s="40">
        <v>80.84</v>
      </c>
      <c r="T23" s="40">
        <v>92.55</v>
      </c>
      <c r="U23" s="40">
        <v>81.6</v>
      </c>
      <c r="V23" s="40">
        <v>100</v>
      </c>
      <c r="W23" s="40"/>
      <c r="X23" s="40"/>
      <c r="Y23" s="40"/>
    </row>
    <row r="24" spans="1:25">
      <c r="A24" s="41" t="s">
        <v>90</v>
      </c>
      <c r="B24" s="40">
        <v>80.22</v>
      </c>
      <c r="C24" s="40">
        <v>83.67</v>
      </c>
      <c r="D24" s="40">
        <v>83.53</v>
      </c>
      <c r="E24" s="40">
        <v>83.85</v>
      </c>
      <c r="F24" s="40">
        <v>85.89</v>
      </c>
      <c r="G24" s="40">
        <v>83.59</v>
      </c>
      <c r="H24" s="40">
        <v>83.48</v>
      </c>
      <c r="I24" s="40">
        <v>85.57</v>
      </c>
      <c r="J24" s="40">
        <v>85.2</v>
      </c>
      <c r="K24" s="40">
        <v>83.36</v>
      </c>
      <c r="L24" s="40">
        <v>84.97</v>
      </c>
      <c r="M24" s="40">
        <v>84.45</v>
      </c>
      <c r="N24" s="40">
        <v>90.69</v>
      </c>
      <c r="O24" s="40">
        <v>92.63</v>
      </c>
      <c r="P24" s="40">
        <v>82.69</v>
      </c>
      <c r="Q24" s="40">
        <v>96.41</v>
      </c>
      <c r="R24" s="40">
        <v>81.62</v>
      </c>
      <c r="S24" s="40">
        <v>82.93</v>
      </c>
      <c r="T24" s="40">
        <v>81.69</v>
      </c>
      <c r="U24" s="40">
        <v>83.44</v>
      </c>
      <c r="V24" s="40">
        <v>81.72</v>
      </c>
      <c r="W24" s="40">
        <v>100</v>
      </c>
      <c r="X24" s="40"/>
      <c r="Y24" s="40"/>
    </row>
    <row r="25" spans="1:25">
      <c r="A25" s="41" t="s">
        <v>91</v>
      </c>
      <c r="B25" s="40">
        <v>80</v>
      </c>
      <c r="C25" s="40">
        <v>83.27</v>
      </c>
      <c r="D25" s="40">
        <v>83.35</v>
      </c>
      <c r="E25" s="40">
        <v>83.28</v>
      </c>
      <c r="F25" s="40">
        <v>85.53</v>
      </c>
      <c r="G25" s="40">
        <v>83.16</v>
      </c>
      <c r="H25" s="40">
        <v>83.23</v>
      </c>
      <c r="I25" s="40">
        <v>85.14</v>
      </c>
      <c r="J25" s="40">
        <v>84.87</v>
      </c>
      <c r="K25" s="40">
        <v>82.89</v>
      </c>
      <c r="L25" s="40">
        <v>84.41</v>
      </c>
      <c r="M25" s="40">
        <v>84.06</v>
      </c>
      <c r="N25" s="40">
        <v>90.61</v>
      </c>
      <c r="O25" s="40">
        <v>92.5</v>
      </c>
      <c r="P25" s="40">
        <v>82.33</v>
      </c>
      <c r="Q25" s="40">
        <v>96.61</v>
      </c>
      <c r="R25" s="40">
        <v>81.61</v>
      </c>
      <c r="S25" s="40">
        <v>82.41</v>
      </c>
      <c r="T25" s="40">
        <v>81.29</v>
      </c>
      <c r="U25" s="40">
        <v>83.07</v>
      </c>
      <c r="V25" s="40">
        <v>81.29</v>
      </c>
      <c r="W25" s="40">
        <v>98.34</v>
      </c>
      <c r="X25" s="40">
        <v>100</v>
      </c>
      <c r="Y25" s="40"/>
    </row>
    <row r="26" spans="1:25">
      <c r="A26" s="41" t="s">
        <v>92</v>
      </c>
      <c r="B26" s="40">
        <v>79.68</v>
      </c>
      <c r="C26" s="40">
        <v>82.86</v>
      </c>
      <c r="D26" s="40">
        <v>82.87</v>
      </c>
      <c r="E26" s="40">
        <v>83.08</v>
      </c>
      <c r="F26" s="40">
        <v>84.15</v>
      </c>
      <c r="G26" s="40">
        <v>82.52</v>
      </c>
      <c r="H26" s="40">
        <v>82.64</v>
      </c>
      <c r="I26" s="40">
        <v>84.65</v>
      </c>
      <c r="J26" s="40">
        <v>83.92</v>
      </c>
      <c r="K26" s="40">
        <v>82.01</v>
      </c>
      <c r="L26" s="40">
        <v>83.98</v>
      </c>
      <c r="M26" s="40">
        <v>82.74</v>
      </c>
      <c r="N26" s="40">
        <v>88.69</v>
      </c>
      <c r="O26" s="40">
        <v>92.17</v>
      </c>
      <c r="P26" s="40">
        <v>82.08</v>
      </c>
      <c r="Q26" s="40">
        <v>91.14</v>
      </c>
      <c r="R26" s="40">
        <v>80.77</v>
      </c>
      <c r="S26" s="40">
        <v>82.09</v>
      </c>
      <c r="T26" s="40">
        <v>80.65</v>
      </c>
      <c r="U26" s="40">
        <v>82.47</v>
      </c>
      <c r="V26" s="40">
        <v>80.61</v>
      </c>
      <c r="W26" s="40">
        <v>91.18</v>
      </c>
      <c r="X26" s="40">
        <v>90.93</v>
      </c>
      <c r="Y26" s="40">
        <v>100</v>
      </c>
    </row>
    <row r="27" spans="1:25">
      <c r="B27" s="42" t="s">
        <v>69</v>
      </c>
      <c r="C27" s="43" t="s">
        <v>70</v>
      </c>
      <c r="D27" s="43" t="s">
        <v>71</v>
      </c>
      <c r="E27" s="43" t="s">
        <v>72</v>
      </c>
      <c r="F27" s="42" t="s">
        <v>73</v>
      </c>
      <c r="G27" s="43" t="s">
        <v>74</v>
      </c>
      <c r="H27" s="42" t="s">
        <v>75</v>
      </c>
      <c r="I27" s="43" t="s">
        <v>76</v>
      </c>
      <c r="J27" s="43" t="s">
        <v>77</v>
      </c>
      <c r="K27" s="42" t="s">
        <v>78</v>
      </c>
      <c r="L27" s="43" t="s">
        <v>79</v>
      </c>
      <c r="M27" s="42" t="s">
        <v>80</v>
      </c>
      <c r="N27" s="43" t="s">
        <v>81</v>
      </c>
      <c r="O27" s="43" t="s">
        <v>82</v>
      </c>
      <c r="P27" s="43" t="s">
        <v>83</v>
      </c>
      <c r="Q27" s="43" t="s">
        <v>84</v>
      </c>
      <c r="R27" s="43" t="s">
        <v>85</v>
      </c>
      <c r="S27" s="43" t="s">
        <v>86</v>
      </c>
      <c r="T27" s="43" t="s">
        <v>87</v>
      </c>
      <c r="U27" s="42" t="s">
        <v>88</v>
      </c>
      <c r="V27" s="43" t="s">
        <v>89</v>
      </c>
      <c r="W27" s="43" t="s">
        <v>90</v>
      </c>
      <c r="X27" s="43" t="s">
        <v>91</v>
      </c>
      <c r="Y27" s="43" t="s">
        <v>92</v>
      </c>
    </row>
    <row r="33" spans="1:25">
      <c r="A33" s="44" t="s">
        <v>67</v>
      </c>
    </row>
    <row r="34" spans="1:25">
      <c r="A34" s="45" t="s">
        <v>82</v>
      </c>
      <c r="B34" s="45">
        <v>100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>
      <c r="A35" s="45" t="s">
        <v>90</v>
      </c>
      <c r="B35" s="45">
        <v>91.58483</v>
      </c>
      <c r="C35" s="45">
        <v>100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spans="1:25">
      <c r="A36" s="45" t="s">
        <v>91</v>
      </c>
      <c r="B36" s="45">
        <v>91.77176</v>
      </c>
      <c r="C36" s="45">
        <v>98.20843</v>
      </c>
      <c r="D36" s="45">
        <v>100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spans="1:25">
      <c r="A37" s="45" t="s">
        <v>84</v>
      </c>
      <c r="B37" s="45">
        <v>91.56875</v>
      </c>
      <c r="C37" s="45">
        <v>96.46543</v>
      </c>
      <c r="D37" s="45">
        <v>96.80018</v>
      </c>
      <c r="E37" s="45">
        <v>100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 spans="1:25">
      <c r="A38" s="45" t="s">
        <v>92</v>
      </c>
      <c r="B38" s="45">
        <v>90.99993</v>
      </c>
      <c r="C38" s="45">
        <v>90.21011</v>
      </c>
      <c r="D38" s="45">
        <v>90.47292</v>
      </c>
      <c r="E38" s="45">
        <v>90.31216</v>
      </c>
      <c r="F38" s="45">
        <v>100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spans="1:25">
      <c r="A39" s="45" t="s">
        <v>81</v>
      </c>
      <c r="B39" s="45">
        <v>88.38063</v>
      </c>
      <c r="C39" s="45">
        <v>89.10607</v>
      </c>
      <c r="D39" s="45">
        <v>89.20338</v>
      </c>
      <c r="E39" s="45">
        <v>89.18729</v>
      </c>
      <c r="F39" s="45">
        <v>87.28488</v>
      </c>
      <c r="G39" s="45">
        <v>100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spans="1:25">
      <c r="A40" s="46" t="s">
        <v>93</v>
      </c>
      <c r="B40" s="45">
        <v>83.74249</v>
      </c>
      <c r="C40" s="45">
        <v>84.22331</v>
      </c>
      <c r="D40" s="45">
        <v>84.31353</v>
      </c>
      <c r="E40" s="45">
        <v>84.30865</v>
      </c>
      <c r="F40" s="45">
        <v>83.01188</v>
      </c>
      <c r="G40" s="45">
        <v>83.98926</v>
      </c>
      <c r="H40" s="45">
        <v>100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spans="1:25">
      <c r="A41" s="45" t="s">
        <v>71</v>
      </c>
      <c r="B41" s="45">
        <v>82.66333</v>
      </c>
      <c r="C41" s="45">
        <v>82.70466</v>
      </c>
      <c r="D41" s="45">
        <v>82.65101</v>
      </c>
      <c r="E41" s="45">
        <v>82.68898</v>
      </c>
      <c r="F41" s="45">
        <v>82.06449</v>
      </c>
      <c r="G41" s="45">
        <v>83.3836</v>
      </c>
      <c r="H41" s="45">
        <v>94.17223</v>
      </c>
      <c r="I41" s="45">
        <v>100</v>
      </c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spans="1:25">
      <c r="A42" s="46" t="s">
        <v>94</v>
      </c>
      <c r="B42" s="45">
        <v>82.6929</v>
      </c>
      <c r="C42" s="45">
        <v>82.67567</v>
      </c>
      <c r="D42" s="45">
        <v>82.7065</v>
      </c>
      <c r="E42" s="45">
        <v>82.73534</v>
      </c>
      <c r="F42" s="45">
        <v>82.07355</v>
      </c>
      <c r="G42" s="45">
        <v>83.45626</v>
      </c>
      <c r="H42" s="45">
        <v>94.00146</v>
      </c>
      <c r="I42" s="45">
        <v>94.10383</v>
      </c>
      <c r="J42" s="45">
        <v>100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>
      <c r="A43" s="45" t="s">
        <v>70</v>
      </c>
      <c r="B43" s="45">
        <v>83.06733</v>
      </c>
      <c r="C43" s="45">
        <v>83.02359</v>
      </c>
      <c r="D43" s="45">
        <v>82.82837</v>
      </c>
      <c r="E43" s="45">
        <v>83.21235</v>
      </c>
      <c r="F43" s="45">
        <v>82.46698</v>
      </c>
      <c r="G43" s="45">
        <v>84.17515</v>
      </c>
      <c r="H43" s="45">
        <v>88.52706</v>
      </c>
      <c r="I43" s="45">
        <v>89.18238</v>
      </c>
      <c r="J43" s="45">
        <v>88.94691</v>
      </c>
      <c r="K43" s="45">
        <v>100</v>
      </c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>
      <c r="A44" s="45" t="s">
        <v>72</v>
      </c>
      <c r="B44" s="45">
        <v>82.80143</v>
      </c>
      <c r="C44" s="45">
        <v>82.84384</v>
      </c>
      <c r="D44" s="45">
        <v>82.64607</v>
      </c>
      <c r="E44" s="45">
        <v>82.94828</v>
      </c>
      <c r="F44" s="45">
        <v>82.13728</v>
      </c>
      <c r="G44" s="45">
        <v>83.87088</v>
      </c>
      <c r="H44" s="45">
        <v>88.30823</v>
      </c>
      <c r="I44" s="45">
        <v>88.91337</v>
      </c>
      <c r="J44" s="45">
        <v>88.62013</v>
      </c>
      <c r="K44" s="45">
        <v>96.48694</v>
      </c>
      <c r="L44" s="45">
        <v>100</v>
      </c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</row>
    <row r="45" spans="1:25">
      <c r="A45" s="45" t="s">
        <v>74</v>
      </c>
      <c r="B45" s="45">
        <v>82.9237</v>
      </c>
      <c r="C45" s="45">
        <v>82.89957</v>
      </c>
      <c r="D45" s="45">
        <v>82.79495</v>
      </c>
      <c r="E45" s="45">
        <v>83.06912</v>
      </c>
      <c r="F45" s="45">
        <v>82.31494</v>
      </c>
      <c r="G45" s="45">
        <v>83.92295</v>
      </c>
      <c r="H45" s="45">
        <v>88.4876</v>
      </c>
      <c r="I45" s="45">
        <v>89.02719</v>
      </c>
      <c r="J45" s="45">
        <v>88.8307</v>
      </c>
      <c r="K45" s="45">
        <v>96.50124</v>
      </c>
      <c r="L45" s="45">
        <v>96.73314</v>
      </c>
      <c r="M45" s="45">
        <v>100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 spans="1:25">
      <c r="A46" s="46" t="s">
        <v>95</v>
      </c>
      <c r="B46" s="45">
        <v>81.31391</v>
      </c>
      <c r="C46" s="45">
        <v>81.28071</v>
      </c>
      <c r="D46" s="45">
        <v>80.97313</v>
      </c>
      <c r="E46" s="45">
        <v>81.33675</v>
      </c>
      <c r="F46" s="45">
        <v>80.80608</v>
      </c>
      <c r="G46" s="45">
        <v>81.64021</v>
      </c>
      <c r="H46" s="45">
        <v>87.01015</v>
      </c>
      <c r="I46" s="45">
        <v>83.51803</v>
      </c>
      <c r="J46" s="45">
        <v>83.36109</v>
      </c>
      <c r="K46" s="45">
        <v>83.17685</v>
      </c>
      <c r="L46" s="45">
        <v>83.06297</v>
      </c>
      <c r="M46" s="45">
        <v>83.05095</v>
      </c>
      <c r="N46" s="45">
        <v>100</v>
      </c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 spans="1:25">
      <c r="A47" s="45" t="s">
        <v>86</v>
      </c>
      <c r="B47" s="45">
        <v>80.74351</v>
      </c>
      <c r="C47" s="45">
        <v>80.63013</v>
      </c>
      <c r="D47" s="45">
        <v>80.4939</v>
      </c>
      <c r="E47" s="45">
        <v>80.68421</v>
      </c>
      <c r="F47" s="45">
        <v>80.39914</v>
      </c>
      <c r="G47" s="45">
        <v>80.92283</v>
      </c>
      <c r="H47" s="45">
        <v>82.85962</v>
      </c>
      <c r="I47" s="45">
        <v>82.1845</v>
      </c>
      <c r="J47" s="45">
        <v>82.33403</v>
      </c>
      <c r="K47" s="45">
        <v>82.18562</v>
      </c>
      <c r="L47" s="45">
        <v>82.22798</v>
      </c>
      <c r="M47" s="45">
        <v>82.18933</v>
      </c>
      <c r="N47" s="45">
        <v>89.97319</v>
      </c>
      <c r="O47" s="45">
        <v>100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 spans="1:25">
      <c r="A48" s="45" t="s">
        <v>83</v>
      </c>
      <c r="B48" s="45">
        <v>81.01863</v>
      </c>
      <c r="C48" s="45">
        <v>80.92715</v>
      </c>
      <c r="D48" s="45">
        <v>80.76525</v>
      </c>
      <c r="E48" s="45">
        <v>80.97197</v>
      </c>
      <c r="F48" s="45">
        <v>80.74661</v>
      </c>
      <c r="G48" s="45">
        <v>81.20416</v>
      </c>
      <c r="H48" s="45">
        <v>82.86902</v>
      </c>
      <c r="I48" s="45">
        <v>82.43922</v>
      </c>
      <c r="J48" s="45">
        <v>82.40964</v>
      </c>
      <c r="K48" s="45">
        <v>82.3753</v>
      </c>
      <c r="L48" s="45">
        <v>82.47532</v>
      </c>
      <c r="M48" s="45">
        <v>82.44282</v>
      </c>
      <c r="N48" s="45">
        <v>90.38026</v>
      </c>
      <c r="O48" s="45">
        <v>97.6501</v>
      </c>
      <c r="P48" s="45">
        <v>100</v>
      </c>
      <c r="Q48" s="45"/>
      <c r="R48" s="45"/>
      <c r="S48" s="45"/>
      <c r="T48" s="45"/>
      <c r="U48" s="45"/>
      <c r="V48" s="45"/>
      <c r="W48" s="45"/>
      <c r="X48" s="45"/>
      <c r="Y48" s="45"/>
    </row>
    <row r="49" spans="1:24">
      <c r="A49" s="45" t="s">
        <v>76</v>
      </c>
      <c r="B49" s="45">
        <v>82.77482</v>
      </c>
      <c r="C49" s="45">
        <v>82.77542</v>
      </c>
      <c r="D49" s="45">
        <v>82.72393</v>
      </c>
      <c r="E49" s="45">
        <v>82.76067</v>
      </c>
      <c r="F49" s="45">
        <v>82.11955</v>
      </c>
      <c r="G49" s="45">
        <v>83.27209</v>
      </c>
      <c r="H49" s="45">
        <v>84.8563</v>
      </c>
      <c r="I49" s="45">
        <v>85.09045</v>
      </c>
      <c r="J49" s="45">
        <v>84.9015</v>
      </c>
      <c r="K49" s="45">
        <v>85.12622</v>
      </c>
      <c r="L49" s="45">
        <v>84.9055</v>
      </c>
      <c r="M49" s="45">
        <v>84.94548</v>
      </c>
      <c r="N49" s="45">
        <v>84.07034</v>
      </c>
      <c r="O49" s="45">
        <v>83.56533</v>
      </c>
      <c r="P49" s="45">
        <v>83.82123</v>
      </c>
      <c r="Q49" s="45">
        <v>100</v>
      </c>
      <c r="R49" s="45"/>
      <c r="S49" s="45"/>
      <c r="T49" s="45"/>
      <c r="U49" s="45"/>
      <c r="V49" s="45"/>
      <c r="W49" s="45"/>
      <c r="X49" s="45"/>
    </row>
    <row r="50" spans="1:24">
      <c r="A50" s="45" t="s">
        <v>79</v>
      </c>
      <c r="B50" s="45">
        <v>82.54131</v>
      </c>
      <c r="C50" s="45">
        <v>82.57568</v>
      </c>
      <c r="D50" s="45">
        <v>82.4108</v>
      </c>
      <c r="E50" s="45">
        <v>82.63285</v>
      </c>
      <c r="F50" s="45">
        <v>82.00289</v>
      </c>
      <c r="G50" s="45">
        <v>83.2219</v>
      </c>
      <c r="H50" s="45">
        <v>84.75324</v>
      </c>
      <c r="I50" s="45">
        <v>84.98081</v>
      </c>
      <c r="J50" s="45">
        <v>84.77624</v>
      </c>
      <c r="K50" s="45">
        <v>85.11618</v>
      </c>
      <c r="L50" s="45">
        <v>84.96938</v>
      </c>
      <c r="M50" s="45">
        <v>84.95047</v>
      </c>
      <c r="N50" s="45">
        <v>83.96283</v>
      </c>
      <c r="O50" s="45">
        <v>83.38207</v>
      </c>
      <c r="P50" s="45">
        <v>83.44232</v>
      </c>
      <c r="Q50" s="45">
        <v>98.50616</v>
      </c>
      <c r="R50" s="45"/>
      <c r="S50" s="45"/>
      <c r="T50" s="45"/>
      <c r="U50" s="45"/>
      <c r="V50" s="45"/>
      <c r="W50" s="45"/>
      <c r="X50" s="45"/>
    </row>
    <row r="51" spans="1:24">
      <c r="A51" s="46" t="s">
        <v>96</v>
      </c>
      <c r="B51" s="45">
        <v>82.33613</v>
      </c>
      <c r="C51" s="45">
        <v>82.5384</v>
      </c>
      <c r="D51" s="45">
        <v>82.4269</v>
      </c>
      <c r="E51" s="45">
        <v>82.41744</v>
      </c>
      <c r="F51" s="45">
        <v>81.78942</v>
      </c>
      <c r="G51" s="45">
        <v>82.76699</v>
      </c>
      <c r="H51" s="45">
        <v>84.31835</v>
      </c>
      <c r="I51" s="45">
        <v>84.46637</v>
      </c>
      <c r="J51" s="45">
        <v>84.74319</v>
      </c>
      <c r="K51" s="45">
        <v>84.85214</v>
      </c>
      <c r="L51" s="45">
        <v>84.74115</v>
      </c>
      <c r="M51" s="45">
        <v>84.72891</v>
      </c>
      <c r="N51" s="45">
        <v>83.7304</v>
      </c>
      <c r="O51" s="45">
        <v>82.59998</v>
      </c>
      <c r="P51" s="45">
        <v>82.58751</v>
      </c>
      <c r="Q51" s="45">
        <v>90.96228</v>
      </c>
      <c r="R51" s="45">
        <v>100</v>
      </c>
      <c r="S51" s="45"/>
      <c r="T51" s="45"/>
      <c r="U51" s="45"/>
      <c r="V51" s="45"/>
      <c r="W51" s="45"/>
      <c r="X51" s="45"/>
    </row>
    <row r="52" spans="1:24">
      <c r="A52" s="45" t="s">
        <v>77</v>
      </c>
      <c r="B52" s="45">
        <v>83.44206</v>
      </c>
      <c r="C52" s="45">
        <v>83.33617</v>
      </c>
      <c r="D52" s="45">
        <v>83.27096</v>
      </c>
      <c r="E52" s="45">
        <v>83.44045</v>
      </c>
      <c r="F52" s="45">
        <v>82.59301</v>
      </c>
      <c r="G52" s="45">
        <v>84.24271</v>
      </c>
      <c r="H52" s="45">
        <v>84.4723</v>
      </c>
      <c r="I52" s="45">
        <v>84.99245</v>
      </c>
      <c r="J52" s="45">
        <v>84.92878</v>
      </c>
      <c r="K52" s="45">
        <v>85.21903</v>
      </c>
      <c r="L52" s="45">
        <v>85.01331</v>
      </c>
      <c r="M52" s="45">
        <v>85.0651</v>
      </c>
      <c r="N52" s="45">
        <v>82.36124</v>
      </c>
      <c r="O52" s="45">
        <v>81.77265</v>
      </c>
      <c r="P52" s="45">
        <v>81.90172</v>
      </c>
      <c r="Q52" s="45">
        <v>83.84872</v>
      </c>
      <c r="R52" s="45">
        <v>83.64825</v>
      </c>
      <c r="S52" s="45">
        <v>100</v>
      </c>
      <c r="T52" s="45"/>
      <c r="U52" s="45"/>
      <c r="V52" s="45"/>
      <c r="W52" s="45"/>
      <c r="X52" s="45"/>
    </row>
    <row r="53" spans="1:24">
      <c r="A53" s="46" t="s">
        <v>97</v>
      </c>
      <c r="B53" s="45">
        <v>81.27244</v>
      </c>
      <c r="C53" s="45">
        <v>81.54123</v>
      </c>
      <c r="D53" s="45">
        <v>81.32531</v>
      </c>
      <c r="E53" s="45">
        <v>81.4428</v>
      </c>
      <c r="F53" s="45">
        <v>80.65664</v>
      </c>
      <c r="G53" s="45">
        <v>81.81756</v>
      </c>
      <c r="H53" s="45">
        <v>84.44316</v>
      </c>
      <c r="I53" s="45">
        <v>85.39784</v>
      </c>
      <c r="J53" s="45">
        <v>85.26928</v>
      </c>
      <c r="K53" s="45">
        <v>84.55333</v>
      </c>
      <c r="L53" s="45">
        <v>84.20361</v>
      </c>
      <c r="M53" s="45">
        <v>84.22461</v>
      </c>
      <c r="N53" s="45">
        <v>80.97838</v>
      </c>
      <c r="O53" s="45">
        <v>80.12935</v>
      </c>
      <c r="P53" s="45">
        <v>80.19088</v>
      </c>
      <c r="Q53" s="45">
        <v>82.26886</v>
      </c>
      <c r="R53" s="45">
        <v>82.03677</v>
      </c>
      <c r="S53" s="45">
        <v>82.27087</v>
      </c>
      <c r="T53" s="45">
        <v>100</v>
      </c>
      <c r="U53" s="45"/>
      <c r="V53" s="45"/>
      <c r="W53" s="45"/>
      <c r="X53" s="45"/>
    </row>
    <row r="54" spans="1:24">
      <c r="A54" s="45" t="s">
        <v>85</v>
      </c>
      <c r="B54" s="45">
        <v>80.7484</v>
      </c>
      <c r="C54" s="45">
        <v>80.68617</v>
      </c>
      <c r="D54" s="45">
        <v>80.56702</v>
      </c>
      <c r="E54" s="45">
        <v>80.76255</v>
      </c>
      <c r="F54" s="45">
        <v>80.11368</v>
      </c>
      <c r="G54" s="45">
        <v>81.21355</v>
      </c>
      <c r="H54" s="45">
        <v>84.25698</v>
      </c>
      <c r="I54" s="45">
        <v>84.47553</v>
      </c>
      <c r="J54" s="45">
        <v>84.44444</v>
      </c>
      <c r="K54" s="45">
        <v>84.33039</v>
      </c>
      <c r="L54" s="45">
        <v>84.41177</v>
      </c>
      <c r="M54" s="45">
        <v>84.42781</v>
      </c>
      <c r="N54" s="45">
        <v>80.62542</v>
      </c>
      <c r="O54" s="45">
        <v>80.13151</v>
      </c>
      <c r="P54" s="45">
        <v>80.10511</v>
      </c>
      <c r="Q54" s="45">
        <v>82.232</v>
      </c>
      <c r="R54" s="45">
        <v>82.18794</v>
      </c>
      <c r="S54" s="45">
        <v>82.05734</v>
      </c>
      <c r="T54" s="45">
        <v>81.0387</v>
      </c>
      <c r="U54" s="45">
        <v>100</v>
      </c>
      <c r="V54" s="45"/>
      <c r="W54" s="45"/>
      <c r="X54" s="45"/>
    </row>
    <row r="55" spans="1:24">
      <c r="A55" s="45" t="s">
        <v>87</v>
      </c>
      <c r="B55" s="45">
        <v>79.7852</v>
      </c>
      <c r="C55" s="45">
        <v>79.82193</v>
      </c>
      <c r="D55" s="45">
        <v>79.69653</v>
      </c>
      <c r="E55" s="45">
        <v>79.76061</v>
      </c>
      <c r="F55" s="45">
        <v>79.22084</v>
      </c>
      <c r="G55" s="45">
        <v>80.18611</v>
      </c>
      <c r="H55" s="45">
        <v>82.35804</v>
      </c>
      <c r="I55" s="45">
        <v>82.79083</v>
      </c>
      <c r="J55" s="45">
        <v>82.62673</v>
      </c>
      <c r="K55" s="45">
        <v>82.79438</v>
      </c>
      <c r="L55" s="45">
        <v>82.64596</v>
      </c>
      <c r="M55" s="45">
        <v>82.56779</v>
      </c>
      <c r="N55" s="45">
        <v>79.7365</v>
      </c>
      <c r="O55" s="45">
        <v>79.32832</v>
      </c>
      <c r="P55" s="45">
        <v>79.38864</v>
      </c>
      <c r="Q55" s="45">
        <v>81.12135</v>
      </c>
      <c r="R55" s="45">
        <v>80.64857</v>
      </c>
      <c r="S55" s="45">
        <v>80.81815</v>
      </c>
      <c r="T55" s="45">
        <v>80.04975</v>
      </c>
      <c r="U55" s="45">
        <v>81.78668</v>
      </c>
      <c r="V55" s="45">
        <v>100</v>
      </c>
      <c r="W55" s="45"/>
      <c r="X55" s="45"/>
    </row>
    <row r="56" spans="1:24">
      <c r="A56" s="45" t="s">
        <v>89</v>
      </c>
      <c r="B56" s="45">
        <v>79.81919</v>
      </c>
      <c r="C56" s="45">
        <v>79.82818</v>
      </c>
      <c r="D56" s="45">
        <v>79.74986</v>
      </c>
      <c r="E56" s="45">
        <v>79.89619</v>
      </c>
      <c r="F56" s="45">
        <v>79.32461</v>
      </c>
      <c r="G56" s="45">
        <v>80.2917</v>
      </c>
      <c r="H56" s="45">
        <v>82.35518</v>
      </c>
      <c r="I56" s="45">
        <v>82.88985</v>
      </c>
      <c r="J56" s="45">
        <v>82.77247</v>
      </c>
      <c r="K56" s="45">
        <v>82.99974</v>
      </c>
      <c r="L56" s="45">
        <v>82.86724</v>
      </c>
      <c r="M56" s="45">
        <v>82.90934</v>
      </c>
      <c r="N56" s="45">
        <v>79.80886</v>
      </c>
      <c r="O56" s="45">
        <v>79.32358</v>
      </c>
      <c r="P56" s="45">
        <v>79.36747</v>
      </c>
      <c r="Q56" s="45">
        <v>81.1704</v>
      </c>
      <c r="R56" s="45">
        <v>80.94107</v>
      </c>
      <c r="S56" s="45">
        <v>80.80847</v>
      </c>
      <c r="T56" s="45">
        <v>79.96907</v>
      </c>
      <c r="U56" s="45">
        <v>81.93302</v>
      </c>
      <c r="V56" s="45">
        <v>90.85437</v>
      </c>
      <c r="W56" s="45">
        <v>100</v>
      </c>
      <c r="X56" s="45"/>
    </row>
    <row r="57" spans="1:24">
      <c r="A57" s="46" t="s">
        <v>98</v>
      </c>
      <c r="B57" s="45">
        <v>79.02138</v>
      </c>
      <c r="C57" s="45">
        <v>79.12391</v>
      </c>
      <c r="D57" s="45">
        <v>78.9582</v>
      </c>
      <c r="E57" s="45">
        <v>79.28526</v>
      </c>
      <c r="F57" s="45">
        <v>78.7187</v>
      </c>
      <c r="G57" s="45">
        <v>79.49291</v>
      </c>
      <c r="H57" s="45">
        <v>81.72314</v>
      </c>
      <c r="I57" s="45">
        <v>81.97919</v>
      </c>
      <c r="J57" s="45">
        <v>81.84926</v>
      </c>
      <c r="K57" s="45">
        <v>82.55996</v>
      </c>
      <c r="L57" s="45">
        <v>82.40318</v>
      </c>
      <c r="M57" s="45">
        <v>82.43619</v>
      </c>
      <c r="N57" s="45">
        <v>79.25135</v>
      </c>
      <c r="O57" s="45">
        <v>78.8259</v>
      </c>
      <c r="P57" s="45">
        <v>78.80099</v>
      </c>
      <c r="Q57" s="45">
        <v>80.35511</v>
      </c>
      <c r="R57" s="45">
        <v>80.20049</v>
      </c>
      <c r="S57" s="45">
        <v>80.49141</v>
      </c>
      <c r="T57" s="45">
        <v>79.48549</v>
      </c>
      <c r="U57" s="45">
        <v>79.46142</v>
      </c>
      <c r="V57" s="45">
        <v>78.79607</v>
      </c>
      <c r="W57" s="45">
        <v>78.88424</v>
      </c>
      <c r="X57" s="45">
        <v>100</v>
      </c>
    </row>
    <row r="58" spans="1:24">
      <c r="B58" s="45" t="s">
        <v>82</v>
      </c>
      <c r="C58" s="45" t="s">
        <v>90</v>
      </c>
      <c r="D58" s="45" t="s">
        <v>91</v>
      </c>
      <c r="E58" s="45" t="s">
        <v>84</v>
      </c>
      <c r="F58" s="45" t="s">
        <v>92</v>
      </c>
      <c r="G58" s="45" t="s">
        <v>81</v>
      </c>
      <c r="H58" s="46" t="s">
        <v>93</v>
      </c>
      <c r="I58" s="45" t="s">
        <v>71</v>
      </c>
      <c r="J58" s="46" t="s">
        <v>94</v>
      </c>
      <c r="K58" s="45" t="s">
        <v>70</v>
      </c>
      <c r="L58" s="45" t="s">
        <v>72</v>
      </c>
      <c r="M58" s="45" t="s">
        <v>74</v>
      </c>
      <c r="N58" s="46" t="s">
        <v>95</v>
      </c>
      <c r="O58" s="45" t="s">
        <v>86</v>
      </c>
      <c r="P58" s="45" t="s">
        <v>83</v>
      </c>
      <c r="Q58" s="45" t="s">
        <v>76</v>
      </c>
      <c r="R58" s="46" t="s">
        <v>96</v>
      </c>
      <c r="S58" s="45" t="s">
        <v>77</v>
      </c>
      <c r="T58" s="46" t="s">
        <v>97</v>
      </c>
      <c r="U58" s="45" t="s">
        <v>85</v>
      </c>
      <c r="V58" s="45" t="s">
        <v>87</v>
      </c>
      <c r="W58" s="45" t="s">
        <v>89</v>
      </c>
      <c r="X58" s="46" t="s">
        <v>98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6"/>
  <sheetViews>
    <sheetView zoomScale="55" zoomScaleNormal="55" workbookViewId="0">
      <selection activeCell="H2" sqref="H2"/>
    </sheetView>
  </sheetViews>
  <sheetFormatPr defaultColWidth="8.75454545454545" defaultRowHeight="14"/>
  <cols>
    <col min="1" max="1" width="40.4545454545455" customWidth="1"/>
    <col min="2" max="31" width="9.54545454545454"/>
  </cols>
  <sheetData>
    <row r="1" spans="1:32">
      <c r="A1" s="33" t="s">
        <v>41</v>
      </c>
    </row>
    <row r="2" spans="1:32">
      <c r="A2" s="34" t="s">
        <v>99</v>
      </c>
      <c r="B2" s="29">
        <v>100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>
      <c r="A3" s="34" t="s">
        <v>100</v>
      </c>
      <c r="B3" s="29">
        <v>59.6</v>
      </c>
      <c r="C3" s="29">
        <v>100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>
      <c r="A4" s="34" t="s">
        <v>101</v>
      </c>
      <c r="B4" s="29">
        <v>62.42</v>
      </c>
      <c r="C4" s="29">
        <v>61.11</v>
      </c>
      <c r="D4" s="29">
        <v>100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pans="1:32">
      <c r="A5" s="34" t="s">
        <v>102</v>
      </c>
      <c r="B5" s="29">
        <v>58.88</v>
      </c>
      <c r="C5" s="29">
        <v>56.97</v>
      </c>
      <c r="D5" s="29">
        <v>58.34</v>
      </c>
      <c r="E5" s="29">
        <v>100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spans="1:32">
      <c r="A6" s="35" t="s">
        <v>103</v>
      </c>
      <c r="B6" s="29">
        <v>59.54</v>
      </c>
      <c r="C6" s="29">
        <v>57.38</v>
      </c>
      <c r="D6" s="29">
        <v>58.84</v>
      </c>
      <c r="E6" s="29">
        <v>57.58</v>
      </c>
      <c r="F6" s="29">
        <v>100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2">
      <c r="A7" s="35" t="s">
        <v>104</v>
      </c>
      <c r="B7" s="29">
        <v>57.53</v>
      </c>
      <c r="C7" s="29">
        <v>55.93</v>
      </c>
      <c r="D7" s="29">
        <v>57.15</v>
      </c>
      <c r="E7" s="29">
        <v>56.35</v>
      </c>
      <c r="F7" s="29">
        <v>56.48</v>
      </c>
      <c r="G7" s="29">
        <v>100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spans="1:32">
      <c r="A8" s="35" t="s">
        <v>105</v>
      </c>
      <c r="B8" s="29">
        <v>57.38</v>
      </c>
      <c r="C8" s="29">
        <v>55.51</v>
      </c>
      <c r="D8" s="29">
        <v>56.74</v>
      </c>
      <c r="E8" s="29">
        <v>56.44</v>
      </c>
      <c r="F8" s="29">
        <v>56.19</v>
      </c>
      <c r="G8" s="29">
        <v>78.7</v>
      </c>
      <c r="H8" s="29">
        <v>100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 spans="1:32">
      <c r="A9" s="35" t="s">
        <v>106</v>
      </c>
      <c r="B9" s="29">
        <v>57.56</v>
      </c>
      <c r="C9" s="29">
        <v>55.83</v>
      </c>
      <c r="D9" s="29">
        <v>57.15</v>
      </c>
      <c r="E9" s="29">
        <v>56.32</v>
      </c>
      <c r="F9" s="29">
        <v>56.21</v>
      </c>
      <c r="G9" s="29">
        <v>72.3</v>
      </c>
      <c r="H9" s="29">
        <v>73.3</v>
      </c>
      <c r="I9" s="29">
        <v>100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spans="1:32">
      <c r="A10" s="35" t="s">
        <v>107</v>
      </c>
      <c r="B10" s="29">
        <v>57.35</v>
      </c>
      <c r="C10" s="29">
        <v>55.76</v>
      </c>
      <c r="D10" s="29">
        <v>57.26</v>
      </c>
      <c r="E10" s="29">
        <v>56.51</v>
      </c>
      <c r="F10" s="29">
        <v>56.18</v>
      </c>
      <c r="G10" s="29">
        <v>72.41</v>
      </c>
      <c r="H10" s="29">
        <v>73.48</v>
      </c>
      <c r="I10" s="29">
        <v>85.05</v>
      </c>
      <c r="J10" s="29">
        <v>100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 spans="1:32">
      <c r="A11" s="35" t="s">
        <v>108</v>
      </c>
      <c r="B11" s="29">
        <v>70.31</v>
      </c>
      <c r="C11" s="29">
        <v>58.86</v>
      </c>
      <c r="D11" s="29">
        <v>61.23</v>
      </c>
      <c r="E11" s="29">
        <v>58.39</v>
      </c>
      <c r="F11" s="29">
        <v>58.82</v>
      </c>
      <c r="G11" s="29">
        <v>56.87</v>
      </c>
      <c r="H11" s="29">
        <v>56.72</v>
      </c>
      <c r="I11" s="29">
        <v>56.82</v>
      </c>
      <c r="J11" s="29">
        <v>57.01</v>
      </c>
      <c r="K11" s="29">
        <v>100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32">
      <c r="A12" s="35" t="s">
        <v>109</v>
      </c>
      <c r="B12" s="29">
        <v>78.53</v>
      </c>
      <c r="C12" s="29">
        <v>59.84</v>
      </c>
      <c r="D12" s="29">
        <v>62.55</v>
      </c>
      <c r="E12" s="29">
        <v>59.44</v>
      </c>
      <c r="F12" s="29">
        <v>59.6</v>
      </c>
      <c r="G12" s="29">
        <v>57.44</v>
      </c>
      <c r="H12" s="29">
        <v>57.41</v>
      </c>
      <c r="I12" s="29">
        <v>57.33</v>
      </c>
      <c r="J12" s="29">
        <v>57.52</v>
      </c>
      <c r="K12" s="29">
        <v>70.86</v>
      </c>
      <c r="L12" s="29">
        <v>100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32">
      <c r="A13" s="35" t="s">
        <v>110</v>
      </c>
      <c r="B13" s="29">
        <v>59.92</v>
      </c>
      <c r="C13" s="29">
        <v>57.93</v>
      </c>
      <c r="D13" s="29">
        <v>59.44</v>
      </c>
      <c r="E13" s="29">
        <v>58.07</v>
      </c>
      <c r="F13" s="29">
        <v>80.05</v>
      </c>
      <c r="G13" s="29">
        <v>56.82</v>
      </c>
      <c r="H13" s="29">
        <v>56.56</v>
      </c>
      <c r="I13" s="29">
        <v>56.77</v>
      </c>
      <c r="J13" s="29">
        <v>56.58</v>
      </c>
      <c r="K13" s="29">
        <v>59.2</v>
      </c>
      <c r="L13" s="29">
        <v>60.02</v>
      </c>
      <c r="M13" s="29">
        <v>100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32">
      <c r="A14" s="35" t="s">
        <v>111</v>
      </c>
      <c r="B14" s="29">
        <v>70.58</v>
      </c>
      <c r="C14" s="29">
        <v>59.23</v>
      </c>
      <c r="D14" s="29">
        <v>61.75</v>
      </c>
      <c r="E14" s="29">
        <v>58.6</v>
      </c>
      <c r="F14" s="29">
        <v>58.84</v>
      </c>
      <c r="G14" s="29">
        <v>56.89</v>
      </c>
      <c r="H14" s="29">
        <v>57.05</v>
      </c>
      <c r="I14" s="29">
        <v>56.91</v>
      </c>
      <c r="J14" s="29">
        <v>57.29</v>
      </c>
      <c r="K14" s="29">
        <v>88.72</v>
      </c>
      <c r="L14" s="29">
        <v>71.89</v>
      </c>
      <c r="M14" s="29">
        <v>59.03</v>
      </c>
      <c r="N14" s="29">
        <v>100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spans="1:32">
      <c r="A15" s="35" t="s">
        <v>112</v>
      </c>
      <c r="B15" s="29">
        <v>97.23</v>
      </c>
      <c r="C15" s="29">
        <v>59.26</v>
      </c>
      <c r="D15" s="29">
        <v>63.23</v>
      </c>
      <c r="E15" s="29">
        <v>58.9</v>
      </c>
      <c r="F15" s="29">
        <v>59.07</v>
      </c>
      <c r="G15" s="29">
        <v>56.96</v>
      </c>
      <c r="H15" s="29">
        <v>56.88</v>
      </c>
      <c r="I15" s="29">
        <v>57.03</v>
      </c>
      <c r="J15" s="29">
        <v>57.11</v>
      </c>
      <c r="K15" s="29">
        <v>69.33</v>
      </c>
      <c r="L15" s="29">
        <v>77.55</v>
      </c>
      <c r="M15" s="29">
        <v>59.39</v>
      </c>
      <c r="N15" s="29">
        <v>69.9</v>
      </c>
      <c r="O15" s="29">
        <v>100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spans="1:32">
      <c r="A16" s="34" t="s">
        <v>113</v>
      </c>
      <c r="B16" s="29">
        <v>59.8</v>
      </c>
      <c r="C16" s="29">
        <v>57.27</v>
      </c>
      <c r="D16" s="29">
        <v>58.72</v>
      </c>
      <c r="E16" s="29">
        <v>57.69</v>
      </c>
      <c r="F16" s="29">
        <v>84.65</v>
      </c>
      <c r="G16" s="29">
        <v>56.45</v>
      </c>
      <c r="H16" s="29">
        <v>56.06</v>
      </c>
      <c r="I16" s="29">
        <v>56.45</v>
      </c>
      <c r="J16" s="29">
        <v>56.47</v>
      </c>
      <c r="K16" s="29">
        <v>58.64</v>
      </c>
      <c r="L16" s="29">
        <v>59.81</v>
      </c>
      <c r="M16" s="29">
        <v>82.62</v>
      </c>
      <c r="N16" s="29">
        <v>58.94</v>
      </c>
      <c r="O16" s="29">
        <v>59.2</v>
      </c>
      <c r="P16" s="29">
        <v>100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spans="1:32">
      <c r="A17" s="34" t="s">
        <v>114</v>
      </c>
      <c r="B17" s="29">
        <v>61.94</v>
      </c>
      <c r="C17" s="29">
        <v>62.85</v>
      </c>
      <c r="D17" s="29">
        <v>89.75</v>
      </c>
      <c r="E17" s="29">
        <v>58.76</v>
      </c>
      <c r="F17" s="29">
        <v>61.47</v>
      </c>
      <c r="G17" s="29">
        <v>57.32</v>
      </c>
      <c r="H17" s="29">
        <v>57.04</v>
      </c>
      <c r="I17" s="29">
        <v>57.62</v>
      </c>
      <c r="J17" s="29">
        <v>57.74</v>
      </c>
      <c r="K17" s="29">
        <v>61.13</v>
      </c>
      <c r="L17" s="29">
        <v>62.52</v>
      </c>
      <c r="M17" s="29">
        <v>61.06</v>
      </c>
      <c r="N17" s="29">
        <v>61.79</v>
      </c>
      <c r="O17" s="29">
        <v>63.15</v>
      </c>
      <c r="P17" s="29">
        <v>60.74</v>
      </c>
      <c r="Q17" s="29">
        <v>100</v>
      </c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spans="1:32">
      <c r="A18" s="34" t="s">
        <v>115</v>
      </c>
      <c r="B18" s="29">
        <v>59.82</v>
      </c>
      <c r="C18" s="29">
        <v>57.7</v>
      </c>
      <c r="D18" s="29">
        <v>59.16</v>
      </c>
      <c r="E18" s="29">
        <v>57.56</v>
      </c>
      <c r="F18" s="29">
        <v>84.35</v>
      </c>
      <c r="G18" s="29">
        <v>56.38</v>
      </c>
      <c r="H18" s="29">
        <v>56.11</v>
      </c>
      <c r="I18" s="29">
        <v>56.37</v>
      </c>
      <c r="J18" s="29">
        <v>56.34</v>
      </c>
      <c r="K18" s="29">
        <v>58.87</v>
      </c>
      <c r="L18" s="29">
        <v>59.85</v>
      </c>
      <c r="M18" s="29">
        <v>82.65</v>
      </c>
      <c r="N18" s="29">
        <v>59.04</v>
      </c>
      <c r="O18" s="29">
        <v>59.2</v>
      </c>
      <c r="P18" s="29">
        <v>94.85</v>
      </c>
      <c r="Q18" s="29">
        <v>60.46</v>
      </c>
      <c r="R18" s="29">
        <v>100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spans="1:32">
      <c r="A19" s="35" t="s">
        <v>116</v>
      </c>
      <c r="B19" s="29">
        <v>59.86</v>
      </c>
      <c r="C19" s="29">
        <v>57.82</v>
      </c>
      <c r="D19" s="29">
        <v>58.92</v>
      </c>
      <c r="E19" s="29">
        <v>57.71</v>
      </c>
      <c r="F19" s="29">
        <v>93.14</v>
      </c>
      <c r="G19" s="29">
        <v>56.53</v>
      </c>
      <c r="H19" s="29">
        <v>56.03</v>
      </c>
      <c r="I19" s="29">
        <v>56.09</v>
      </c>
      <c r="J19" s="29">
        <v>56.1</v>
      </c>
      <c r="K19" s="29">
        <v>58.76</v>
      </c>
      <c r="L19" s="29">
        <v>59.68</v>
      </c>
      <c r="M19" s="29">
        <v>80.36</v>
      </c>
      <c r="N19" s="29">
        <v>58.75</v>
      </c>
      <c r="O19" s="29">
        <v>59.17</v>
      </c>
      <c r="P19" s="29">
        <v>85.3</v>
      </c>
      <c r="Q19" s="29">
        <v>62.17</v>
      </c>
      <c r="R19" s="29">
        <v>85.19</v>
      </c>
      <c r="S19" s="29">
        <v>100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spans="1:32">
      <c r="A20" s="35" t="s">
        <v>117</v>
      </c>
      <c r="B20" s="29">
        <v>60</v>
      </c>
      <c r="C20" s="29">
        <v>57.54</v>
      </c>
      <c r="D20" s="29">
        <v>59.24</v>
      </c>
      <c r="E20" s="29">
        <v>80.82</v>
      </c>
      <c r="F20" s="29">
        <v>58.19</v>
      </c>
      <c r="G20" s="29">
        <v>57.21</v>
      </c>
      <c r="H20" s="29">
        <v>57.03</v>
      </c>
      <c r="I20" s="29">
        <v>57.1</v>
      </c>
      <c r="J20" s="29">
        <v>57.34</v>
      </c>
      <c r="K20" s="29">
        <v>59.01</v>
      </c>
      <c r="L20" s="29">
        <v>59.78</v>
      </c>
      <c r="M20" s="29">
        <v>59.05</v>
      </c>
      <c r="N20" s="29">
        <v>58.97</v>
      </c>
      <c r="O20" s="29">
        <v>59.61</v>
      </c>
      <c r="P20" s="29">
        <v>58.22</v>
      </c>
      <c r="Q20" s="29">
        <v>59.11</v>
      </c>
      <c r="R20" s="29">
        <v>58.42</v>
      </c>
      <c r="S20" s="29">
        <v>58.22</v>
      </c>
      <c r="T20" s="29">
        <v>100</v>
      </c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spans="1:32">
      <c r="A21" s="35" t="s">
        <v>118</v>
      </c>
      <c r="B21" s="29">
        <v>59.6</v>
      </c>
      <c r="C21" s="29">
        <v>83.23</v>
      </c>
      <c r="D21" s="29">
        <v>60.93</v>
      </c>
      <c r="E21" s="29">
        <v>56.97</v>
      </c>
      <c r="F21" s="29">
        <v>57.49</v>
      </c>
      <c r="G21" s="29">
        <v>55.67</v>
      </c>
      <c r="H21" s="29">
        <v>55.39</v>
      </c>
      <c r="I21" s="29">
        <v>55.74</v>
      </c>
      <c r="J21" s="29">
        <v>55.89</v>
      </c>
      <c r="K21" s="29">
        <v>58.94</v>
      </c>
      <c r="L21" s="29">
        <v>59.8</v>
      </c>
      <c r="M21" s="29">
        <v>58.08</v>
      </c>
      <c r="N21" s="29">
        <v>59.24</v>
      </c>
      <c r="O21" s="29">
        <v>59.13</v>
      </c>
      <c r="P21" s="29">
        <v>57.43</v>
      </c>
      <c r="Q21" s="29">
        <v>61.18</v>
      </c>
      <c r="R21" s="29">
        <v>57.77</v>
      </c>
      <c r="S21" s="29">
        <v>57.81</v>
      </c>
      <c r="T21" s="29">
        <v>57.21</v>
      </c>
      <c r="U21" s="29">
        <v>100</v>
      </c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spans="1:32">
      <c r="A22" s="35" t="s">
        <v>119</v>
      </c>
      <c r="B22" s="29">
        <v>59.84</v>
      </c>
      <c r="C22" s="29">
        <v>57.94</v>
      </c>
      <c r="D22" s="29">
        <v>59.34</v>
      </c>
      <c r="E22" s="29">
        <v>58.05</v>
      </c>
      <c r="F22" s="29">
        <v>80.07</v>
      </c>
      <c r="G22" s="29">
        <v>56.68</v>
      </c>
      <c r="H22" s="29">
        <v>56.31</v>
      </c>
      <c r="I22" s="29">
        <v>56.55</v>
      </c>
      <c r="J22" s="29">
        <v>56.56</v>
      </c>
      <c r="K22" s="29">
        <v>59.01</v>
      </c>
      <c r="L22" s="29">
        <v>59.67</v>
      </c>
      <c r="M22" s="29">
        <v>96.28</v>
      </c>
      <c r="N22" s="29">
        <v>58.83</v>
      </c>
      <c r="O22" s="29">
        <v>59.35</v>
      </c>
      <c r="P22" s="29">
        <v>82.73</v>
      </c>
      <c r="Q22" s="29">
        <v>61.24</v>
      </c>
      <c r="R22" s="29">
        <v>82.27</v>
      </c>
      <c r="S22" s="29">
        <v>80.26</v>
      </c>
      <c r="T22" s="29">
        <v>58.78</v>
      </c>
      <c r="U22" s="29">
        <v>57.85</v>
      </c>
      <c r="V22" s="29">
        <v>100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spans="1:32">
      <c r="A23" s="35" t="s">
        <v>120</v>
      </c>
      <c r="B23" s="29">
        <v>59.17</v>
      </c>
      <c r="C23" s="29">
        <v>57.78</v>
      </c>
      <c r="D23" s="29">
        <v>58.66</v>
      </c>
      <c r="E23" s="29">
        <v>57.27</v>
      </c>
      <c r="F23" s="29">
        <v>79.63</v>
      </c>
      <c r="G23" s="29">
        <v>56.19</v>
      </c>
      <c r="H23" s="29">
        <v>55.64</v>
      </c>
      <c r="I23" s="29">
        <v>55.82</v>
      </c>
      <c r="J23" s="29">
        <v>55.85</v>
      </c>
      <c r="K23" s="29">
        <v>58.49</v>
      </c>
      <c r="L23" s="29">
        <v>59.33</v>
      </c>
      <c r="M23" s="29">
        <v>80.37</v>
      </c>
      <c r="N23" s="29">
        <v>58.58</v>
      </c>
      <c r="O23" s="29">
        <v>58.9</v>
      </c>
      <c r="P23" s="29">
        <v>81.64</v>
      </c>
      <c r="Q23" s="29">
        <v>60.78</v>
      </c>
      <c r="R23" s="29">
        <v>81.41</v>
      </c>
      <c r="S23" s="29">
        <v>80.05</v>
      </c>
      <c r="T23" s="29">
        <v>57.71</v>
      </c>
      <c r="U23" s="29">
        <v>57.82</v>
      </c>
      <c r="V23" s="29">
        <v>80.13</v>
      </c>
      <c r="W23" s="29">
        <v>100</v>
      </c>
      <c r="X23" s="29"/>
      <c r="Y23" s="29"/>
      <c r="Z23" s="29"/>
      <c r="AA23" s="29"/>
      <c r="AB23" s="29"/>
      <c r="AC23" s="29"/>
      <c r="AD23" s="29"/>
      <c r="AE23" s="29"/>
      <c r="AF23" s="29"/>
    </row>
    <row r="24" spans="1:32">
      <c r="A24" s="35" t="s">
        <v>121</v>
      </c>
      <c r="B24" s="29">
        <v>59.48</v>
      </c>
      <c r="C24" s="29">
        <v>83.72</v>
      </c>
      <c r="D24" s="29">
        <v>60.98</v>
      </c>
      <c r="E24" s="29">
        <v>56.93</v>
      </c>
      <c r="F24" s="29">
        <v>57.62</v>
      </c>
      <c r="G24" s="29">
        <v>55.71</v>
      </c>
      <c r="H24" s="29">
        <v>55.51</v>
      </c>
      <c r="I24" s="29">
        <v>56.25</v>
      </c>
      <c r="J24" s="29">
        <v>55.86</v>
      </c>
      <c r="K24" s="29">
        <v>58.84</v>
      </c>
      <c r="L24" s="29">
        <v>59.49</v>
      </c>
      <c r="M24" s="29">
        <v>58.31</v>
      </c>
      <c r="N24" s="29">
        <v>58.98</v>
      </c>
      <c r="O24" s="29">
        <v>59.33</v>
      </c>
      <c r="P24" s="29">
        <v>57.57</v>
      </c>
      <c r="Q24" s="29">
        <v>62.71</v>
      </c>
      <c r="R24" s="29">
        <v>57.96</v>
      </c>
      <c r="S24" s="29">
        <v>58.2</v>
      </c>
      <c r="T24" s="29">
        <v>57.43</v>
      </c>
      <c r="U24" s="29">
        <v>83.61</v>
      </c>
      <c r="V24" s="29">
        <v>58.33</v>
      </c>
      <c r="W24" s="29">
        <v>57.6</v>
      </c>
      <c r="X24" s="29">
        <v>100</v>
      </c>
      <c r="Y24" s="29"/>
      <c r="Z24" s="29"/>
      <c r="AA24" s="29"/>
      <c r="AB24" s="29"/>
      <c r="AC24" s="29"/>
      <c r="AD24" s="29"/>
      <c r="AE24" s="29"/>
      <c r="AF24" s="29"/>
    </row>
    <row r="25" spans="1:32">
      <c r="A25" s="35" t="s">
        <v>122</v>
      </c>
      <c r="B25" s="29">
        <v>59.08</v>
      </c>
      <c r="C25" s="29">
        <v>57.34</v>
      </c>
      <c r="D25" s="29">
        <v>58.32</v>
      </c>
      <c r="E25" s="29">
        <v>57.66</v>
      </c>
      <c r="F25" s="29">
        <v>84.03</v>
      </c>
      <c r="G25" s="29">
        <v>55.98</v>
      </c>
      <c r="H25" s="29">
        <v>55.92</v>
      </c>
      <c r="I25" s="29">
        <v>56.27</v>
      </c>
      <c r="J25" s="29">
        <v>56.07</v>
      </c>
      <c r="K25" s="29">
        <v>58.52</v>
      </c>
      <c r="L25" s="29">
        <v>59.41</v>
      </c>
      <c r="M25" s="29">
        <v>82.62</v>
      </c>
      <c r="N25" s="29">
        <v>58.51</v>
      </c>
      <c r="O25" s="29">
        <v>58.78</v>
      </c>
      <c r="P25" s="29">
        <v>91.92</v>
      </c>
      <c r="Q25" s="29">
        <v>60.62</v>
      </c>
      <c r="R25" s="29">
        <v>91.66</v>
      </c>
      <c r="S25" s="29">
        <v>84.47</v>
      </c>
      <c r="T25" s="29">
        <v>58.32</v>
      </c>
      <c r="U25" s="29">
        <v>57.24</v>
      </c>
      <c r="V25" s="29">
        <v>82.59</v>
      </c>
      <c r="W25" s="29">
        <v>81.45</v>
      </c>
      <c r="X25" s="29">
        <v>57.83</v>
      </c>
      <c r="Y25" s="29">
        <v>100</v>
      </c>
      <c r="Z25" s="29"/>
      <c r="AA25" s="29"/>
      <c r="AB25" s="29"/>
      <c r="AC25" s="29"/>
      <c r="AD25" s="29"/>
      <c r="AE25" s="29"/>
      <c r="AF25" s="29"/>
    </row>
    <row r="26" spans="1:32">
      <c r="A26" s="35" t="s">
        <v>123</v>
      </c>
      <c r="B26" s="29">
        <v>61.88</v>
      </c>
      <c r="C26" s="29">
        <v>60.04</v>
      </c>
      <c r="D26" s="29">
        <v>76.13</v>
      </c>
      <c r="E26" s="29">
        <v>58.12</v>
      </c>
      <c r="F26" s="29">
        <v>58.41</v>
      </c>
      <c r="G26" s="29">
        <v>56.45</v>
      </c>
      <c r="H26" s="29">
        <v>56.41</v>
      </c>
      <c r="I26" s="29">
        <v>56.93</v>
      </c>
      <c r="J26" s="29">
        <v>56.64</v>
      </c>
      <c r="K26" s="29">
        <v>61.18</v>
      </c>
      <c r="L26" s="29">
        <v>62.15</v>
      </c>
      <c r="M26" s="29">
        <v>59.24</v>
      </c>
      <c r="N26" s="29">
        <v>61.37</v>
      </c>
      <c r="O26" s="29">
        <v>61.51</v>
      </c>
      <c r="P26" s="29">
        <v>58.44</v>
      </c>
      <c r="Q26" s="29">
        <v>74.81</v>
      </c>
      <c r="R26" s="29">
        <v>58.64</v>
      </c>
      <c r="S26" s="29">
        <v>58.8</v>
      </c>
      <c r="T26" s="29">
        <v>58.71</v>
      </c>
      <c r="U26" s="29">
        <v>60.58</v>
      </c>
      <c r="V26" s="29">
        <v>59.31</v>
      </c>
      <c r="W26" s="29">
        <v>58.47</v>
      </c>
      <c r="X26" s="29">
        <v>60.53</v>
      </c>
      <c r="Y26" s="29">
        <v>58.53</v>
      </c>
      <c r="Z26" s="29">
        <v>100</v>
      </c>
      <c r="AA26" s="29"/>
      <c r="AB26" s="29"/>
      <c r="AC26" s="29"/>
      <c r="AD26" s="29"/>
      <c r="AE26" s="29"/>
      <c r="AF26" s="29"/>
    </row>
    <row r="27" spans="1:32">
      <c r="A27" s="35" t="s">
        <v>124</v>
      </c>
      <c r="B27" s="29">
        <v>58.67</v>
      </c>
      <c r="C27" s="29">
        <v>56.4</v>
      </c>
      <c r="D27" s="29">
        <v>57.89</v>
      </c>
      <c r="E27" s="29">
        <v>88.29</v>
      </c>
      <c r="F27" s="29">
        <v>57.49</v>
      </c>
      <c r="G27" s="29">
        <v>56.02</v>
      </c>
      <c r="H27" s="29">
        <v>56.26</v>
      </c>
      <c r="I27" s="29">
        <v>56.32</v>
      </c>
      <c r="J27" s="29">
        <v>56.3</v>
      </c>
      <c r="K27" s="29">
        <v>58.11</v>
      </c>
      <c r="L27" s="29">
        <v>58.92</v>
      </c>
      <c r="M27" s="29">
        <v>58.01</v>
      </c>
      <c r="N27" s="29">
        <v>58.1</v>
      </c>
      <c r="O27" s="29">
        <v>58.6</v>
      </c>
      <c r="P27" s="29">
        <v>57.42</v>
      </c>
      <c r="Q27" s="29">
        <v>58.24</v>
      </c>
      <c r="R27" s="29">
        <v>57.3</v>
      </c>
      <c r="S27" s="29">
        <v>57.49</v>
      </c>
      <c r="T27" s="29">
        <v>79.09</v>
      </c>
      <c r="U27" s="29">
        <v>56.64</v>
      </c>
      <c r="V27" s="29">
        <v>57.84</v>
      </c>
      <c r="W27" s="29">
        <v>57.15</v>
      </c>
      <c r="X27" s="29">
        <v>56.44</v>
      </c>
      <c r="Y27" s="29">
        <v>57.63</v>
      </c>
      <c r="Z27" s="29">
        <v>57.74</v>
      </c>
      <c r="AA27" s="29">
        <v>100</v>
      </c>
      <c r="AB27" s="29"/>
      <c r="AC27" s="29"/>
      <c r="AD27" s="29"/>
      <c r="AE27" s="29"/>
      <c r="AF27" s="29"/>
    </row>
    <row r="28" spans="1:32">
      <c r="A28" s="35" t="s">
        <v>125</v>
      </c>
      <c r="B28" s="29">
        <v>59.49</v>
      </c>
      <c r="C28" s="29">
        <v>93.17</v>
      </c>
      <c r="D28" s="29">
        <v>61.79</v>
      </c>
      <c r="E28" s="29">
        <v>56.96</v>
      </c>
      <c r="F28" s="29">
        <v>57.21</v>
      </c>
      <c r="G28" s="29">
        <v>55.75</v>
      </c>
      <c r="H28" s="29">
        <v>55.68</v>
      </c>
      <c r="I28" s="29">
        <v>55.98</v>
      </c>
      <c r="J28" s="29">
        <v>55.81</v>
      </c>
      <c r="K28" s="29">
        <v>58.66</v>
      </c>
      <c r="L28" s="29">
        <v>59.36</v>
      </c>
      <c r="M28" s="29">
        <v>58.26</v>
      </c>
      <c r="N28" s="29">
        <v>58.99</v>
      </c>
      <c r="O28" s="29">
        <v>59.27</v>
      </c>
      <c r="P28" s="29">
        <v>57.1</v>
      </c>
      <c r="Q28" s="29">
        <v>63.06</v>
      </c>
      <c r="R28" s="29">
        <v>57.64</v>
      </c>
      <c r="S28" s="29">
        <v>57.65</v>
      </c>
      <c r="T28" s="29">
        <v>57.31</v>
      </c>
      <c r="U28" s="29">
        <v>82.06</v>
      </c>
      <c r="V28" s="29">
        <v>57.87</v>
      </c>
      <c r="W28" s="29">
        <v>57.12</v>
      </c>
      <c r="X28" s="29">
        <v>83.02</v>
      </c>
      <c r="Y28" s="29">
        <v>57.24</v>
      </c>
      <c r="Z28" s="29">
        <v>60.03</v>
      </c>
      <c r="AA28" s="29">
        <v>56.59</v>
      </c>
      <c r="AB28" s="29">
        <v>100</v>
      </c>
      <c r="AC28" s="29"/>
      <c r="AD28" s="29"/>
      <c r="AE28" s="29"/>
      <c r="AF28" s="29"/>
    </row>
    <row r="29" spans="1:32">
      <c r="A29" s="35" t="s">
        <v>126</v>
      </c>
      <c r="B29" s="29">
        <v>59.3</v>
      </c>
      <c r="C29" s="29">
        <v>82.95</v>
      </c>
      <c r="D29" s="29">
        <v>60.71</v>
      </c>
      <c r="E29" s="29">
        <v>56.81</v>
      </c>
      <c r="F29" s="29">
        <v>57.44</v>
      </c>
      <c r="G29" s="29">
        <v>56.16</v>
      </c>
      <c r="H29" s="29">
        <v>55.68</v>
      </c>
      <c r="I29" s="29">
        <v>55.98</v>
      </c>
      <c r="J29" s="29">
        <v>55.67</v>
      </c>
      <c r="K29" s="29">
        <v>59.04</v>
      </c>
      <c r="L29" s="29">
        <v>59.5</v>
      </c>
      <c r="M29" s="29">
        <v>58.33</v>
      </c>
      <c r="N29" s="29">
        <v>59.31</v>
      </c>
      <c r="O29" s="29">
        <v>59.02</v>
      </c>
      <c r="P29" s="29">
        <v>57.44</v>
      </c>
      <c r="Q29" s="29">
        <v>62.4</v>
      </c>
      <c r="R29" s="29">
        <v>57.67</v>
      </c>
      <c r="S29" s="29">
        <v>58.03</v>
      </c>
      <c r="T29" s="29">
        <v>57.57</v>
      </c>
      <c r="U29" s="29">
        <v>86.67</v>
      </c>
      <c r="V29" s="29">
        <v>58.02</v>
      </c>
      <c r="W29" s="29">
        <v>57.64</v>
      </c>
      <c r="X29" s="29">
        <v>83.98</v>
      </c>
      <c r="Y29" s="29">
        <v>57.42</v>
      </c>
      <c r="Z29" s="29">
        <v>60.38</v>
      </c>
      <c r="AA29" s="29">
        <v>56.61</v>
      </c>
      <c r="AB29" s="29">
        <v>82.42</v>
      </c>
      <c r="AC29" s="29">
        <v>100</v>
      </c>
      <c r="AD29" s="29"/>
      <c r="AE29" s="29"/>
      <c r="AF29" s="29"/>
    </row>
    <row r="30" spans="1:32">
      <c r="A30" s="35" t="s">
        <v>127</v>
      </c>
      <c r="B30" s="29">
        <v>59.94</v>
      </c>
      <c r="C30" s="29">
        <v>57.58</v>
      </c>
      <c r="D30" s="29">
        <v>59.19</v>
      </c>
      <c r="E30" s="29">
        <v>57.81</v>
      </c>
      <c r="F30" s="29">
        <v>80.19</v>
      </c>
      <c r="G30" s="29">
        <v>56.29</v>
      </c>
      <c r="H30" s="29">
        <v>55.75</v>
      </c>
      <c r="I30" s="29">
        <v>56.32</v>
      </c>
      <c r="J30" s="29">
        <v>56.42</v>
      </c>
      <c r="K30" s="29">
        <v>58.83</v>
      </c>
      <c r="L30" s="29">
        <v>59.59</v>
      </c>
      <c r="M30" s="29">
        <v>84.49</v>
      </c>
      <c r="N30" s="29">
        <v>58.9</v>
      </c>
      <c r="O30" s="29">
        <v>59.39</v>
      </c>
      <c r="P30" s="29">
        <v>83.54</v>
      </c>
      <c r="Q30" s="29">
        <v>61.14</v>
      </c>
      <c r="R30" s="29">
        <v>83.29</v>
      </c>
      <c r="S30" s="29">
        <v>80.43</v>
      </c>
      <c r="T30" s="29">
        <v>58.51</v>
      </c>
      <c r="U30" s="29">
        <v>57.64</v>
      </c>
      <c r="V30" s="29">
        <v>84.28</v>
      </c>
      <c r="W30" s="29">
        <v>80.91</v>
      </c>
      <c r="X30" s="29">
        <v>58.31</v>
      </c>
      <c r="Y30" s="29">
        <v>82.98</v>
      </c>
      <c r="Z30" s="29">
        <v>58.92</v>
      </c>
      <c r="AA30" s="29">
        <v>57.57</v>
      </c>
      <c r="AB30" s="29">
        <v>57.33</v>
      </c>
      <c r="AC30" s="29">
        <v>57.87</v>
      </c>
      <c r="AD30" s="29">
        <v>100</v>
      </c>
      <c r="AE30" s="29"/>
      <c r="AF30" s="29"/>
    </row>
    <row r="31" spans="1:32">
      <c r="A31" s="35" t="s">
        <v>128</v>
      </c>
      <c r="B31" s="29">
        <v>77.41</v>
      </c>
      <c r="C31" s="29">
        <v>59.67</v>
      </c>
      <c r="D31" s="29">
        <v>63.35</v>
      </c>
      <c r="E31" s="29">
        <v>59.06</v>
      </c>
      <c r="F31" s="29">
        <v>59.72</v>
      </c>
      <c r="G31" s="29">
        <v>57.68</v>
      </c>
      <c r="H31" s="29">
        <v>57.67</v>
      </c>
      <c r="I31" s="29">
        <v>57.45</v>
      </c>
      <c r="J31" s="29">
        <v>57.29</v>
      </c>
      <c r="K31" s="29">
        <v>71.54</v>
      </c>
      <c r="L31" s="29">
        <v>83.98</v>
      </c>
      <c r="M31" s="29">
        <v>59.96</v>
      </c>
      <c r="N31" s="29">
        <v>71.63</v>
      </c>
      <c r="O31" s="29">
        <v>76.91</v>
      </c>
      <c r="P31" s="29">
        <v>59.63</v>
      </c>
      <c r="Q31" s="29">
        <v>62.38</v>
      </c>
      <c r="R31" s="29">
        <v>59.66</v>
      </c>
      <c r="S31" s="29">
        <v>59.89</v>
      </c>
      <c r="T31" s="29">
        <v>59.88</v>
      </c>
      <c r="U31" s="29">
        <v>59.94</v>
      </c>
      <c r="V31" s="29">
        <v>59.75</v>
      </c>
      <c r="W31" s="29">
        <v>59.63</v>
      </c>
      <c r="X31" s="29">
        <v>59.88</v>
      </c>
      <c r="Y31" s="29">
        <v>59.29</v>
      </c>
      <c r="Z31" s="29">
        <v>61.94</v>
      </c>
      <c r="AA31" s="29">
        <v>58.6</v>
      </c>
      <c r="AB31" s="29">
        <v>59.81</v>
      </c>
      <c r="AC31" s="29">
        <v>59.85</v>
      </c>
      <c r="AD31" s="29">
        <v>59.59</v>
      </c>
      <c r="AE31" s="29">
        <v>100</v>
      </c>
      <c r="AF31" s="29"/>
    </row>
    <row r="32" spans="1:32">
      <c r="A32" s="35" t="s">
        <v>129</v>
      </c>
      <c r="B32" s="29">
        <v>63.97</v>
      </c>
      <c r="C32" s="29">
        <v>60</v>
      </c>
      <c r="D32" s="29">
        <v>63.07</v>
      </c>
      <c r="E32" s="29">
        <v>58.96</v>
      </c>
      <c r="F32" s="29">
        <v>58.67</v>
      </c>
      <c r="G32" s="29">
        <v>56.85</v>
      </c>
      <c r="H32" s="29">
        <v>56.67</v>
      </c>
      <c r="I32" s="29">
        <v>56.99</v>
      </c>
      <c r="J32" s="29">
        <v>57.02</v>
      </c>
      <c r="K32" s="29">
        <v>62.66</v>
      </c>
      <c r="L32" s="29">
        <v>64.31</v>
      </c>
      <c r="M32" s="29">
        <v>59.61</v>
      </c>
      <c r="N32" s="29">
        <v>62.97</v>
      </c>
      <c r="O32" s="29">
        <v>63.6</v>
      </c>
      <c r="P32" s="29">
        <v>59.07</v>
      </c>
      <c r="Q32" s="29">
        <v>63.6</v>
      </c>
      <c r="R32" s="29">
        <v>59.1</v>
      </c>
      <c r="S32" s="29">
        <v>59.38</v>
      </c>
      <c r="T32" s="29">
        <v>59.32</v>
      </c>
      <c r="U32" s="29">
        <v>59.88</v>
      </c>
      <c r="V32" s="29">
        <v>59.56</v>
      </c>
      <c r="W32" s="29">
        <v>58.84</v>
      </c>
      <c r="X32" s="29">
        <v>60.33</v>
      </c>
      <c r="Y32" s="29">
        <v>58.77</v>
      </c>
      <c r="Z32" s="29">
        <v>62.78</v>
      </c>
      <c r="AA32" s="29">
        <v>58.13</v>
      </c>
      <c r="AB32" s="29">
        <v>59.28</v>
      </c>
      <c r="AC32" s="29">
        <v>59.87</v>
      </c>
      <c r="AD32" s="29">
        <v>59.23</v>
      </c>
      <c r="AE32" s="29">
        <v>64.41</v>
      </c>
      <c r="AF32" s="29">
        <v>100</v>
      </c>
    </row>
    <row r="33" spans="1:32">
      <c r="A33" s="36"/>
      <c r="B33" s="34" t="s">
        <v>99</v>
      </c>
      <c r="C33" s="34" t="s">
        <v>100</v>
      </c>
      <c r="D33" s="34" t="s">
        <v>101</v>
      </c>
      <c r="E33" s="34" t="s">
        <v>102</v>
      </c>
      <c r="F33" s="35" t="s">
        <v>103</v>
      </c>
      <c r="G33" s="35" t="s">
        <v>104</v>
      </c>
      <c r="H33" s="35" t="s">
        <v>105</v>
      </c>
      <c r="I33" s="35" t="s">
        <v>106</v>
      </c>
      <c r="J33" s="35" t="s">
        <v>107</v>
      </c>
      <c r="K33" s="35" t="s">
        <v>108</v>
      </c>
      <c r="L33" s="35" t="s">
        <v>109</v>
      </c>
      <c r="M33" s="35" t="s">
        <v>110</v>
      </c>
      <c r="N33" s="35" t="s">
        <v>111</v>
      </c>
      <c r="O33" s="35" t="s">
        <v>112</v>
      </c>
      <c r="P33" s="34" t="s">
        <v>113</v>
      </c>
      <c r="Q33" s="34" t="s">
        <v>114</v>
      </c>
      <c r="R33" s="34" t="s">
        <v>115</v>
      </c>
      <c r="S33" s="35" t="s">
        <v>116</v>
      </c>
      <c r="T33" s="35" t="s">
        <v>117</v>
      </c>
      <c r="U33" s="35" t="s">
        <v>118</v>
      </c>
      <c r="V33" s="35" t="s">
        <v>119</v>
      </c>
      <c r="W33" s="35" t="s">
        <v>120</v>
      </c>
      <c r="X33" s="35" t="s">
        <v>121</v>
      </c>
      <c r="Y33" s="35" t="s">
        <v>122</v>
      </c>
      <c r="Z33" s="35" t="s">
        <v>123</v>
      </c>
      <c r="AA33" s="35" t="s">
        <v>124</v>
      </c>
      <c r="AB33" s="35" t="s">
        <v>125</v>
      </c>
      <c r="AC33" s="35" t="s">
        <v>126</v>
      </c>
      <c r="AD33" s="35" t="s">
        <v>127</v>
      </c>
      <c r="AE33" s="35" t="s">
        <v>128</v>
      </c>
      <c r="AF33" s="35" t="s">
        <v>129</v>
      </c>
    </row>
    <row r="34" spans="1:32">
      <c r="A34" s="10"/>
    </row>
    <row r="35" spans="1:32">
      <c r="A35" s="31" t="s">
        <v>67</v>
      </c>
    </row>
    <row r="36" spans="1:32">
      <c r="A36" s="37" t="s">
        <v>99</v>
      </c>
      <c r="B36" s="32">
        <v>100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spans="1:32">
      <c r="A37" s="32" t="s">
        <v>112</v>
      </c>
      <c r="B37" s="32">
        <v>95.3313</v>
      </c>
      <c r="C37" s="32">
        <v>100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pans="1:32">
      <c r="A38" s="32" t="s">
        <v>109</v>
      </c>
      <c r="B38" s="32">
        <v>75.5515</v>
      </c>
      <c r="C38" s="32">
        <v>75.4737</v>
      </c>
      <c r="D38" s="32">
        <v>100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pans="1:32">
      <c r="A39" s="32" t="s">
        <v>128</v>
      </c>
      <c r="B39" s="32">
        <v>75.0377</v>
      </c>
      <c r="C39" s="32">
        <v>75.004</v>
      </c>
      <c r="D39" s="32">
        <v>81.5488</v>
      </c>
      <c r="E39" s="32">
        <v>100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pans="1:32">
      <c r="A40" s="32" t="s">
        <v>111</v>
      </c>
      <c r="B40" s="32">
        <v>71.328</v>
      </c>
      <c r="C40" s="32">
        <v>71.3072</v>
      </c>
      <c r="D40" s="32">
        <v>75.0067</v>
      </c>
      <c r="E40" s="32">
        <v>72.8428</v>
      </c>
      <c r="F40" s="32">
        <v>100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pans="1:32">
      <c r="A41" s="32" t="s">
        <v>108</v>
      </c>
      <c r="B41" s="32">
        <v>71.4457</v>
      </c>
      <c r="C41" s="32">
        <v>71.4496</v>
      </c>
      <c r="D41" s="32">
        <v>74.2357</v>
      </c>
      <c r="E41" s="32">
        <v>72.9254</v>
      </c>
      <c r="F41" s="32">
        <v>86.5421</v>
      </c>
      <c r="G41" s="32">
        <v>100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spans="1:32">
      <c r="A42" s="32" t="s">
        <v>129</v>
      </c>
      <c r="B42" s="32">
        <v>69.1111</v>
      </c>
      <c r="C42" s="32">
        <v>69.171</v>
      </c>
      <c r="D42" s="32">
        <v>68.741</v>
      </c>
      <c r="E42" s="32">
        <v>69.0253</v>
      </c>
      <c r="F42" s="32">
        <v>68.3714</v>
      </c>
      <c r="G42" s="32">
        <v>68.6278</v>
      </c>
      <c r="H42" s="32">
        <v>100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spans="1:32">
      <c r="A43" s="37" t="s">
        <v>101</v>
      </c>
      <c r="B43" s="32">
        <v>68.9346</v>
      </c>
      <c r="C43" s="32">
        <v>72.2872</v>
      </c>
      <c r="D43" s="32">
        <v>68.7912</v>
      </c>
      <c r="E43" s="32">
        <v>68.742</v>
      </c>
      <c r="F43" s="32">
        <v>68.4096</v>
      </c>
      <c r="G43" s="32">
        <v>68.7266</v>
      </c>
      <c r="H43" s="32">
        <v>70.5274</v>
      </c>
      <c r="I43" s="32">
        <v>100</v>
      </c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spans="1:32">
      <c r="A44" s="37" t="s">
        <v>114</v>
      </c>
      <c r="B44" s="32">
        <v>69.8009</v>
      </c>
      <c r="C44" s="32">
        <v>72.7256</v>
      </c>
      <c r="D44" s="32">
        <v>69.0628</v>
      </c>
      <c r="E44" s="32">
        <v>68.7614</v>
      </c>
      <c r="F44" s="32">
        <v>68.5134</v>
      </c>
      <c r="G44" s="32">
        <v>68.7455</v>
      </c>
      <c r="H44" s="32">
        <v>71.0097</v>
      </c>
      <c r="I44" s="32">
        <v>93.6068</v>
      </c>
      <c r="J44" s="32">
        <v>100</v>
      </c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spans="1:32">
      <c r="A45" s="32" t="s">
        <v>123</v>
      </c>
      <c r="B45" s="32">
        <v>69.1817</v>
      </c>
      <c r="C45" s="32">
        <v>68.7632</v>
      </c>
      <c r="D45" s="32">
        <v>68.5359</v>
      </c>
      <c r="E45" s="32">
        <v>68.6398</v>
      </c>
      <c r="F45" s="32">
        <v>68.3475</v>
      </c>
      <c r="G45" s="32">
        <v>68.5717</v>
      </c>
      <c r="H45" s="32">
        <v>70.1788</v>
      </c>
      <c r="I45" s="32">
        <v>77.6852</v>
      </c>
      <c r="J45" s="32">
        <v>77.9894</v>
      </c>
      <c r="K45" s="32">
        <v>100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spans="1:32">
      <c r="A46" s="32" t="s">
        <v>117</v>
      </c>
      <c r="B46" s="32">
        <v>68.3658</v>
      </c>
      <c r="C46" s="32">
        <v>68.6801</v>
      </c>
      <c r="D46" s="32">
        <v>68.0461</v>
      </c>
      <c r="E46" s="32">
        <v>68.2403</v>
      </c>
      <c r="F46" s="32">
        <v>67.4842</v>
      </c>
      <c r="G46" s="32">
        <v>68.0505</v>
      </c>
      <c r="H46" s="32">
        <v>69.5868</v>
      </c>
      <c r="I46" s="32">
        <v>70.7572</v>
      </c>
      <c r="J46" s="32">
        <v>70.4826</v>
      </c>
      <c r="K46" s="32">
        <v>70.1973</v>
      </c>
      <c r="L46" s="32">
        <v>100</v>
      </c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spans="1:32">
      <c r="A47" s="37" t="s">
        <v>102</v>
      </c>
      <c r="B47" s="32">
        <v>68.2496</v>
      </c>
      <c r="C47" s="32">
        <v>68.3426</v>
      </c>
      <c r="D47" s="32">
        <v>67.9024</v>
      </c>
      <c r="E47" s="32">
        <v>67.9042</v>
      </c>
      <c r="F47" s="32">
        <v>67.8471</v>
      </c>
      <c r="G47" s="32">
        <v>67.8615</v>
      </c>
      <c r="H47" s="32">
        <v>69.3836</v>
      </c>
      <c r="I47" s="32">
        <v>70.1972</v>
      </c>
      <c r="J47" s="32">
        <v>69.9243</v>
      </c>
      <c r="K47" s="32">
        <v>69.3694</v>
      </c>
      <c r="L47" s="32">
        <v>83.7811</v>
      </c>
      <c r="M47" s="32">
        <v>100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spans="1:32">
      <c r="A48" s="32" t="s">
        <v>124</v>
      </c>
      <c r="B48" s="32">
        <v>68.8843</v>
      </c>
      <c r="C48" s="32">
        <v>68.7002</v>
      </c>
      <c r="D48" s="32">
        <v>68.2737</v>
      </c>
      <c r="E48" s="32">
        <v>67.9596</v>
      </c>
      <c r="F48" s="32">
        <v>67.2175</v>
      </c>
      <c r="G48" s="32">
        <v>67.3884</v>
      </c>
      <c r="H48" s="32">
        <v>69.9745</v>
      </c>
      <c r="I48" s="32">
        <v>70.6766</v>
      </c>
      <c r="J48" s="32">
        <v>70.191</v>
      </c>
      <c r="K48" s="32">
        <v>70.0877</v>
      </c>
      <c r="L48" s="32">
        <v>82.3871</v>
      </c>
      <c r="M48" s="32">
        <v>89.2133</v>
      </c>
      <c r="N48" s="32">
        <v>100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spans="1:31">
      <c r="A49" s="32" t="s">
        <v>127</v>
      </c>
      <c r="B49" s="32">
        <v>69.2319</v>
      </c>
      <c r="C49" s="32">
        <v>69.4018</v>
      </c>
      <c r="D49" s="32">
        <v>68.2211</v>
      </c>
      <c r="E49" s="32">
        <v>68.4299</v>
      </c>
      <c r="F49" s="32">
        <v>68.3931</v>
      </c>
      <c r="G49" s="32">
        <v>68.3886</v>
      </c>
      <c r="H49" s="32">
        <v>69.6288</v>
      </c>
      <c r="I49" s="32">
        <v>70.0861</v>
      </c>
      <c r="J49" s="32">
        <v>72.3311</v>
      </c>
      <c r="K49" s="32">
        <v>70.4883</v>
      </c>
      <c r="L49" s="32">
        <v>70.5961</v>
      </c>
      <c r="M49" s="32">
        <v>70.0706</v>
      </c>
      <c r="N49" s="32">
        <v>70.1546</v>
      </c>
      <c r="O49" s="32">
        <v>100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spans="1:31">
      <c r="A50" s="32" t="s">
        <v>110</v>
      </c>
      <c r="B50" s="32">
        <v>68.4267</v>
      </c>
      <c r="C50" s="32">
        <v>68.6007</v>
      </c>
      <c r="D50" s="32">
        <v>68.5993</v>
      </c>
      <c r="E50" s="32">
        <v>68.8964</v>
      </c>
      <c r="F50" s="32">
        <v>68.7613</v>
      </c>
      <c r="G50" s="32">
        <v>68.9537</v>
      </c>
      <c r="H50" s="32">
        <v>69.1118</v>
      </c>
      <c r="I50" s="32">
        <v>70.0845</v>
      </c>
      <c r="J50" s="32">
        <v>72.4363</v>
      </c>
      <c r="K50" s="32">
        <v>70.2425</v>
      </c>
      <c r="L50" s="32">
        <v>70.4377</v>
      </c>
      <c r="M50" s="32">
        <v>70.056</v>
      </c>
      <c r="N50" s="32">
        <v>70.0752</v>
      </c>
      <c r="O50" s="32">
        <v>84.4259</v>
      </c>
      <c r="P50" s="32">
        <v>100</v>
      </c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 spans="1:31">
      <c r="A51" s="32" t="s">
        <v>119</v>
      </c>
      <c r="B51" s="32">
        <v>68.5633</v>
      </c>
      <c r="C51" s="32">
        <v>68.8278</v>
      </c>
      <c r="D51" s="32">
        <v>68.0135</v>
      </c>
      <c r="E51" s="32">
        <v>68.1913</v>
      </c>
      <c r="F51" s="32">
        <v>67.6206</v>
      </c>
      <c r="G51" s="32">
        <v>67.8878</v>
      </c>
      <c r="H51" s="32">
        <v>69.0697</v>
      </c>
      <c r="I51" s="32">
        <v>69.789</v>
      </c>
      <c r="J51" s="32">
        <v>72.2937</v>
      </c>
      <c r="K51" s="32">
        <v>70.2584</v>
      </c>
      <c r="L51" s="32">
        <v>70.6341</v>
      </c>
      <c r="M51" s="32">
        <v>69.9308</v>
      </c>
      <c r="N51" s="32">
        <v>70.2882</v>
      </c>
      <c r="O51" s="32">
        <v>84.0091</v>
      </c>
      <c r="P51" s="32">
        <v>96.5959</v>
      </c>
      <c r="Q51" s="32">
        <v>100</v>
      </c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spans="1:31">
      <c r="A52" s="32" t="s">
        <v>116</v>
      </c>
      <c r="B52" s="32">
        <v>68.8532</v>
      </c>
      <c r="C52" s="32">
        <v>69.1101</v>
      </c>
      <c r="D52" s="32">
        <v>68.6875</v>
      </c>
      <c r="E52" s="32">
        <v>68.5561</v>
      </c>
      <c r="F52" s="32">
        <v>68.422</v>
      </c>
      <c r="G52" s="32">
        <v>68.3597</v>
      </c>
      <c r="H52" s="32">
        <v>69.3916</v>
      </c>
      <c r="I52" s="32">
        <v>69.9272</v>
      </c>
      <c r="J52" s="32">
        <v>78.7126</v>
      </c>
      <c r="K52" s="32">
        <v>69.8191</v>
      </c>
      <c r="L52" s="32">
        <v>70.4055</v>
      </c>
      <c r="M52" s="32">
        <v>70.257</v>
      </c>
      <c r="N52" s="32">
        <v>70.0935</v>
      </c>
      <c r="O52" s="32">
        <v>79.0349</v>
      </c>
      <c r="P52" s="32">
        <v>78.689</v>
      </c>
      <c r="Q52" s="32">
        <v>78.547</v>
      </c>
      <c r="R52" s="32">
        <v>100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spans="1:31">
      <c r="A53" s="32" t="s">
        <v>103</v>
      </c>
      <c r="B53" s="32">
        <v>68.6458</v>
      </c>
      <c r="C53" s="32">
        <v>68.9258</v>
      </c>
      <c r="D53" s="32">
        <v>68.7575</v>
      </c>
      <c r="E53" s="32">
        <v>68.8497</v>
      </c>
      <c r="F53" s="32">
        <v>68.55</v>
      </c>
      <c r="G53" s="32">
        <v>68.5341</v>
      </c>
      <c r="H53" s="32">
        <v>69.2351</v>
      </c>
      <c r="I53" s="32">
        <v>70.2942</v>
      </c>
      <c r="J53" s="32">
        <v>77.0862</v>
      </c>
      <c r="K53" s="32">
        <v>69.9254</v>
      </c>
      <c r="L53" s="32">
        <v>70.1766</v>
      </c>
      <c r="M53" s="32">
        <v>69.8314</v>
      </c>
      <c r="N53" s="32">
        <v>69.7288</v>
      </c>
      <c r="O53" s="32">
        <v>78.6318</v>
      </c>
      <c r="P53" s="32">
        <v>78.2995</v>
      </c>
      <c r="Q53" s="32">
        <v>78.2531</v>
      </c>
      <c r="R53" s="32">
        <v>93.2548</v>
      </c>
      <c r="S53" s="32">
        <v>100</v>
      </c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</row>
    <row r="54" spans="1:31">
      <c r="A54" s="37" t="s">
        <v>115</v>
      </c>
      <c r="B54" s="32">
        <v>68.4202</v>
      </c>
      <c r="C54" s="32">
        <v>68.9808</v>
      </c>
      <c r="D54" s="32">
        <v>68.5675</v>
      </c>
      <c r="E54" s="32">
        <v>68.5343</v>
      </c>
      <c r="F54" s="32">
        <v>68.1117</v>
      </c>
      <c r="G54" s="32">
        <v>68.1298</v>
      </c>
      <c r="H54" s="32">
        <v>69.5842</v>
      </c>
      <c r="I54" s="32">
        <v>69.886</v>
      </c>
      <c r="J54" s="32">
        <v>73.0424</v>
      </c>
      <c r="K54" s="32">
        <v>69.8149</v>
      </c>
      <c r="L54" s="32">
        <v>69.8443</v>
      </c>
      <c r="M54" s="32">
        <v>69.7004</v>
      </c>
      <c r="N54" s="32">
        <v>69.9466</v>
      </c>
      <c r="O54" s="32">
        <v>81.927</v>
      </c>
      <c r="P54" s="32">
        <v>81.1919</v>
      </c>
      <c r="Q54" s="32">
        <v>80.9884</v>
      </c>
      <c r="R54" s="32">
        <v>83.0598</v>
      </c>
      <c r="S54" s="32">
        <v>82.1981</v>
      </c>
      <c r="T54" s="32">
        <v>100</v>
      </c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1">
      <c r="A55" s="37" t="s">
        <v>113</v>
      </c>
      <c r="B55" s="32">
        <v>68.8648</v>
      </c>
      <c r="C55" s="32">
        <v>69.0244</v>
      </c>
      <c r="D55" s="32">
        <v>69.1068</v>
      </c>
      <c r="E55" s="32">
        <v>69.0835</v>
      </c>
      <c r="F55" s="32">
        <v>68.7467</v>
      </c>
      <c r="G55" s="32">
        <v>68.6087</v>
      </c>
      <c r="H55" s="32">
        <v>69.3717</v>
      </c>
      <c r="I55" s="32">
        <v>69.9386</v>
      </c>
      <c r="J55" s="32">
        <v>73.5542</v>
      </c>
      <c r="K55" s="32">
        <v>69.8709</v>
      </c>
      <c r="L55" s="32">
        <v>70.0022</v>
      </c>
      <c r="M55" s="32">
        <v>69.6237</v>
      </c>
      <c r="N55" s="32">
        <v>69.804</v>
      </c>
      <c r="O55" s="32">
        <v>82.202</v>
      </c>
      <c r="P55" s="32">
        <v>81.2903</v>
      </c>
      <c r="Q55" s="32">
        <v>81.2423</v>
      </c>
      <c r="R55" s="32">
        <v>83.242</v>
      </c>
      <c r="S55" s="32">
        <v>82.4396</v>
      </c>
      <c r="T55" s="32">
        <v>94.3694</v>
      </c>
      <c r="U55" s="32">
        <v>100</v>
      </c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spans="1:31">
      <c r="A56" s="32" t="s">
        <v>120</v>
      </c>
      <c r="B56" s="32">
        <v>69.3046</v>
      </c>
      <c r="C56" s="32">
        <v>69.4719</v>
      </c>
      <c r="D56" s="32">
        <v>69.1418</v>
      </c>
      <c r="E56" s="32">
        <v>69.0317</v>
      </c>
      <c r="F56" s="32">
        <v>68.199</v>
      </c>
      <c r="G56" s="32">
        <v>68.771</v>
      </c>
      <c r="H56" s="32">
        <v>70.0309</v>
      </c>
      <c r="I56" s="32">
        <v>70.204</v>
      </c>
      <c r="J56" s="32">
        <v>73.0737</v>
      </c>
      <c r="K56" s="32">
        <v>70.3862</v>
      </c>
      <c r="L56" s="32">
        <v>70.3103</v>
      </c>
      <c r="M56" s="32">
        <v>70.1192</v>
      </c>
      <c r="N56" s="32">
        <v>70.3853</v>
      </c>
      <c r="O56" s="32">
        <v>79.8507</v>
      </c>
      <c r="P56" s="32">
        <v>79.4098</v>
      </c>
      <c r="Q56" s="32">
        <v>79.0692</v>
      </c>
      <c r="R56" s="32">
        <v>77.9513</v>
      </c>
      <c r="S56" s="32">
        <v>77.3967</v>
      </c>
      <c r="T56" s="32">
        <v>79.6122</v>
      </c>
      <c r="U56" s="32">
        <v>79.7293</v>
      </c>
      <c r="V56" s="32">
        <v>100</v>
      </c>
      <c r="W56" s="32"/>
      <c r="X56" s="32"/>
      <c r="Y56" s="32"/>
      <c r="Z56" s="32"/>
      <c r="AA56" s="32"/>
      <c r="AB56" s="32"/>
      <c r="AC56" s="32"/>
      <c r="AD56" s="32"/>
      <c r="AE56" s="32"/>
    </row>
    <row r="57" spans="1:31">
      <c r="A57" s="37" t="s">
        <v>100</v>
      </c>
      <c r="B57" s="32">
        <v>68.5449</v>
      </c>
      <c r="C57" s="32">
        <v>68.9828</v>
      </c>
      <c r="D57" s="32">
        <v>68.6714</v>
      </c>
      <c r="E57" s="32">
        <v>68.5113</v>
      </c>
      <c r="F57" s="32">
        <v>68.051</v>
      </c>
      <c r="G57" s="32">
        <v>68.239</v>
      </c>
      <c r="H57" s="32">
        <v>69.3916</v>
      </c>
      <c r="I57" s="32">
        <v>73.2565</v>
      </c>
      <c r="J57" s="32">
        <v>75.9091</v>
      </c>
      <c r="K57" s="32">
        <v>69.7724</v>
      </c>
      <c r="L57" s="32">
        <v>69.6443</v>
      </c>
      <c r="M57" s="32">
        <v>69.415</v>
      </c>
      <c r="N57" s="32">
        <v>69.6583</v>
      </c>
      <c r="O57" s="32">
        <v>69.4204</v>
      </c>
      <c r="P57" s="32">
        <v>69.6213</v>
      </c>
      <c r="Q57" s="32">
        <v>69.5008</v>
      </c>
      <c r="R57" s="32">
        <v>70.5543</v>
      </c>
      <c r="S57" s="32">
        <v>69.2524</v>
      </c>
      <c r="T57" s="32">
        <v>69.2909</v>
      </c>
      <c r="U57" s="32">
        <v>69.2991</v>
      </c>
      <c r="V57" s="32">
        <v>69.3195</v>
      </c>
      <c r="W57" s="32">
        <v>100</v>
      </c>
      <c r="X57" s="32"/>
      <c r="Y57" s="32"/>
      <c r="Z57" s="32"/>
      <c r="AA57" s="32"/>
      <c r="AB57" s="32"/>
      <c r="AC57" s="32"/>
      <c r="AD57" s="32"/>
      <c r="AE57" s="32"/>
    </row>
    <row r="58" spans="1:31">
      <c r="A58" s="32" t="s">
        <v>125</v>
      </c>
      <c r="B58" s="32">
        <v>69.3982</v>
      </c>
      <c r="C58" s="32">
        <v>70.0012</v>
      </c>
      <c r="D58" s="32">
        <v>69.2547</v>
      </c>
      <c r="E58" s="32">
        <v>68.8714</v>
      </c>
      <c r="F58" s="32">
        <v>69.087</v>
      </c>
      <c r="G58" s="32">
        <v>69.3011</v>
      </c>
      <c r="H58" s="32">
        <v>69.9812</v>
      </c>
      <c r="I58" s="32">
        <v>75.265</v>
      </c>
      <c r="J58" s="32">
        <v>76.859</v>
      </c>
      <c r="K58" s="32">
        <v>71.2234</v>
      </c>
      <c r="L58" s="32">
        <v>70.0028</v>
      </c>
      <c r="M58" s="32">
        <v>69.8667</v>
      </c>
      <c r="N58" s="32">
        <v>69.702</v>
      </c>
      <c r="O58" s="32">
        <v>69.6611</v>
      </c>
      <c r="P58" s="32">
        <v>70.0818</v>
      </c>
      <c r="Q58" s="32">
        <v>69.5343</v>
      </c>
      <c r="R58" s="32">
        <v>70.8295</v>
      </c>
      <c r="S58" s="32">
        <v>69.9451</v>
      </c>
      <c r="T58" s="32">
        <v>69.9306</v>
      </c>
      <c r="U58" s="32">
        <v>70.0447</v>
      </c>
      <c r="V58" s="32">
        <v>70.0482</v>
      </c>
      <c r="W58" s="32">
        <v>95.1977</v>
      </c>
      <c r="X58" s="32">
        <v>100</v>
      </c>
      <c r="Y58" s="32"/>
      <c r="Z58" s="32"/>
      <c r="AA58" s="32"/>
      <c r="AB58" s="32"/>
      <c r="AC58" s="32"/>
      <c r="AD58" s="32"/>
      <c r="AE58" s="32"/>
    </row>
    <row r="59" spans="1:31">
      <c r="A59" s="32" t="s">
        <v>118</v>
      </c>
      <c r="B59" s="32">
        <v>69.3281</v>
      </c>
      <c r="C59" s="32">
        <v>69.74</v>
      </c>
      <c r="D59" s="32">
        <v>69.0421</v>
      </c>
      <c r="E59" s="32">
        <v>69.0503</v>
      </c>
      <c r="F59" s="32">
        <v>68.3463</v>
      </c>
      <c r="G59" s="32">
        <v>68.6981</v>
      </c>
      <c r="H59" s="32">
        <v>70.2048</v>
      </c>
      <c r="I59" s="32">
        <v>73.1555</v>
      </c>
      <c r="J59" s="32">
        <v>72.774</v>
      </c>
      <c r="K59" s="32">
        <v>72.2336</v>
      </c>
      <c r="L59" s="32">
        <v>70.9183</v>
      </c>
      <c r="M59" s="32">
        <v>69.9819</v>
      </c>
      <c r="N59" s="32">
        <v>70.1986</v>
      </c>
      <c r="O59" s="32">
        <v>70.4398</v>
      </c>
      <c r="P59" s="32">
        <v>70.786</v>
      </c>
      <c r="Q59" s="32">
        <v>70.828</v>
      </c>
      <c r="R59" s="32">
        <v>70.1957</v>
      </c>
      <c r="S59" s="32">
        <v>70.4544</v>
      </c>
      <c r="T59" s="32">
        <v>70.4376</v>
      </c>
      <c r="U59" s="32">
        <v>70.3749</v>
      </c>
      <c r="V59" s="32">
        <v>70.5676</v>
      </c>
      <c r="W59" s="32">
        <v>82.5364</v>
      </c>
      <c r="X59" s="32">
        <v>82.4708</v>
      </c>
      <c r="Y59" s="32">
        <v>100</v>
      </c>
      <c r="Z59" s="32"/>
      <c r="AA59" s="32"/>
      <c r="AB59" s="32"/>
      <c r="AC59" s="32"/>
      <c r="AD59" s="32"/>
      <c r="AE59" s="32"/>
    </row>
    <row r="60" spans="1:31">
      <c r="A60" s="32" t="s">
        <v>121</v>
      </c>
      <c r="B60" s="32">
        <v>68.5892</v>
      </c>
      <c r="C60" s="32">
        <v>69.7271</v>
      </c>
      <c r="D60" s="32">
        <v>68.9187</v>
      </c>
      <c r="E60" s="32">
        <v>69.3266</v>
      </c>
      <c r="F60" s="32">
        <v>68.7442</v>
      </c>
      <c r="G60" s="32">
        <v>69.0774</v>
      </c>
      <c r="H60" s="32">
        <v>70.4295</v>
      </c>
      <c r="I60" s="32">
        <v>72.6546</v>
      </c>
      <c r="J60" s="32">
        <v>74.1096</v>
      </c>
      <c r="K60" s="32">
        <v>71.425</v>
      </c>
      <c r="L60" s="32">
        <v>70.0924</v>
      </c>
      <c r="M60" s="32">
        <v>69.5685</v>
      </c>
      <c r="N60" s="32">
        <v>69.7105</v>
      </c>
      <c r="O60" s="32">
        <v>70.8186</v>
      </c>
      <c r="P60" s="32">
        <v>71.0391</v>
      </c>
      <c r="Q60" s="32">
        <v>70.5858</v>
      </c>
      <c r="R60" s="32">
        <v>70.5077</v>
      </c>
      <c r="S60" s="32">
        <v>70.1475</v>
      </c>
      <c r="T60" s="32">
        <v>70.348</v>
      </c>
      <c r="U60" s="32">
        <v>70.45</v>
      </c>
      <c r="V60" s="32">
        <v>70.8942</v>
      </c>
      <c r="W60" s="32">
        <v>83.2639</v>
      </c>
      <c r="X60" s="32">
        <v>83.2597</v>
      </c>
      <c r="Y60" s="32">
        <v>83.2749</v>
      </c>
      <c r="Z60" s="32">
        <v>100</v>
      </c>
      <c r="AA60" s="32"/>
      <c r="AB60" s="32"/>
      <c r="AC60" s="32"/>
      <c r="AD60" s="32"/>
      <c r="AE60" s="32"/>
    </row>
    <row r="61" spans="1:31">
      <c r="A61" s="32" t="s">
        <v>126</v>
      </c>
      <c r="B61" s="32">
        <v>68.9924</v>
      </c>
      <c r="C61" s="32">
        <v>69.4478</v>
      </c>
      <c r="D61" s="32">
        <v>69.1427</v>
      </c>
      <c r="E61" s="32">
        <v>69.1088</v>
      </c>
      <c r="F61" s="32">
        <v>68.8369</v>
      </c>
      <c r="G61" s="32">
        <v>69.2861</v>
      </c>
      <c r="H61" s="32">
        <v>69.5758</v>
      </c>
      <c r="I61" s="32">
        <v>71.3131</v>
      </c>
      <c r="J61" s="32">
        <v>73.1958</v>
      </c>
      <c r="K61" s="32">
        <v>71.0045</v>
      </c>
      <c r="L61" s="32">
        <v>69.7471</v>
      </c>
      <c r="M61" s="32">
        <v>70.0067</v>
      </c>
      <c r="N61" s="32">
        <v>69.8333</v>
      </c>
      <c r="O61" s="32">
        <v>69.9069</v>
      </c>
      <c r="P61" s="32">
        <v>70.3859</v>
      </c>
      <c r="Q61" s="32">
        <v>69.9462</v>
      </c>
      <c r="R61" s="32">
        <v>70.1815</v>
      </c>
      <c r="S61" s="32">
        <v>69.7988</v>
      </c>
      <c r="T61" s="32">
        <v>69.752</v>
      </c>
      <c r="U61" s="32">
        <v>69.7909</v>
      </c>
      <c r="V61" s="32">
        <v>69.7494</v>
      </c>
      <c r="W61" s="32">
        <v>81.7082</v>
      </c>
      <c r="X61" s="32">
        <v>81.6674</v>
      </c>
      <c r="Y61" s="32">
        <v>86.1331</v>
      </c>
      <c r="Z61" s="32">
        <v>82.611</v>
      </c>
      <c r="AA61" s="32">
        <v>100</v>
      </c>
      <c r="AB61" s="32"/>
      <c r="AC61" s="32"/>
      <c r="AD61" s="32"/>
      <c r="AE61" s="32"/>
    </row>
    <row r="62" spans="1:31">
      <c r="A62" s="32" t="s">
        <v>106</v>
      </c>
      <c r="B62" s="32">
        <v>68.2472</v>
      </c>
      <c r="C62" s="32">
        <v>68.4151</v>
      </c>
      <c r="D62" s="32">
        <v>70.1254</v>
      </c>
      <c r="E62" s="32">
        <v>69.0342</v>
      </c>
      <c r="F62" s="32">
        <v>70.181</v>
      </c>
      <c r="G62" s="32">
        <v>70.1549</v>
      </c>
      <c r="H62" s="32">
        <v>69.0922</v>
      </c>
      <c r="I62" s="32">
        <v>70.9565</v>
      </c>
      <c r="J62" s="32">
        <v>69.6335</v>
      </c>
      <c r="K62" s="32">
        <v>69.2662</v>
      </c>
      <c r="L62" s="32">
        <v>70.0471</v>
      </c>
      <c r="M62" s="32">
        <v>70.0257</v>
      </c>
      <c r="N62" s="32">
        <v>69.8257</v>
      </c>
      <c r="O62" s="32">
        <v>69.4009</v>
      </c>
      <c r="P62" s="32">
        <v>70.5649</v>
      </c>
      <c r="Q62" s="32">
        <v>69.5295</v>
      </c>
      <c r="R62" s="32">
        <v>69.1495</v>
      </c>
      <c r="S62" s="32">
        <v>69.2442</v>
      </c>
      <c r="T62" s="32">
        <v>69.176</v>
      </c>
      <c r="U62" s="32">
        <v>69.9595</v>
      </c>
      <c r="V62" s="32">
        <v>69.4857</v>
      </c>
      <c r="W62" s="32">
        <v>69.1706</v>
      </c>
      <c r="X62" s="32">
        <v>69.5755</v>
      </c>
      <c r="Y62" s="32">
        <v>69.663</v>
      </c>
      <c r="Z62" s="32">
        <v>69.5132</v>
      </c>
      <c r="AA62" s="32">
        <v>69.5666</v>
      </c>
      <c r="AB62" s="32">
        <v>100</v>
      </c>
      <c r="AC62" s="32"/>
      <c r="AD62" s="32"/>
      <c r="AE62" s="32"/>
    </row>
    <row r="63" spans="1:31">
      <c r="A63" s="32" t="s">
        <v>107</v>
      </c>
      <c r="B63" s="32">
        <v>68.8671</v>
      </c>
      <c r="C63" s="32">
        <v>69.0771</v>
      </c>
      <c r="D63" s="32">
        <v>68.9925</v>
      </c>
      <c r="E63" s="32">
        <v>68.6722</v>
      </c>
      <c r="F63" s="32">
        <v>68.9543</v>
      </c>
      <c r="G63" s="32">
        <v>68.8391</v>
      </c>
      <c r="H63" s="32">
        <v>69.041</v>
      </c>
      <c r="I63" s="32">
        <v>71.0525</v>
      </c>
      <c r="J63" s="32">
        <v>69.7891</v>
      </c>
      <c r="K63" s="32">
        <v>69.6546</v>
      </c>
      <c r="L63" s="32">
        <v>70.3185</v>
      </c>
      <c r="M63" s="32">
        <v>69.9243</v>
      </c>
      <c r="N63" s="32">
        <v>70.1582</v>
      </c>
      <c r="O63" s="32">
        <v>69.4511</v>
      </c>
      <c r="P63" s="32">
        <v>70.1037</v>
      </c>
      <c r="Q63" s="32">
        <v>69.5745</v>
      </c>
      <c r="R63" s="32">
        <v>69.4923</v>
      </c>
      <c r="S63" s="32">
        <v>69.5475</v>
      </c>
      <c r="T63" s="32">
        <v>69.3724</v>
      </c>
      <c r="U63" s="32">
        <v>70.0031</v>
      </c>
      <c r="V63" s="32">
        <v>69.5023</v>
      </c>
      <c r="W63" s="32">
        <v>69.641</v>
      </c>
      <c r="X63" s="32">
        <v>69.7388</v>
      </c>
      <c r="Y63" s="32">
        <v>69.4048</v>
      </c>
      <c r="Z63" s="32">
        <v>69.6023</v>
      </c>
      <c r="AA63" s="32">
        <v>69.2252</v>
      </c>
      <c r="AB63" s="32">
        <v>84.8399</v>
      </c>
      <c r="AC63" s="32">
        <v>100</v>
      </c>
      <c r="AD63" s="32"/>
      <c r="AE63" s="32"/>
    </row>
    <row r="64" spans="1:31">
      <c r="A64" s="32" t="s">
        <v>104</v>
      </c>
      <c r="B64" s="32">
        <v>68.6</v>
      </c>
      <c r="C64" s="32">
        <v>68.9491</v>
      </c>
      <c r="D64" s="32">
        <v>69.3921</v>
      </c>
      <c r="E64" s="32">
        <v>68.9222</v>
      </c>
      <c r="F64" s="32">
        <v>69.8865</v>
      </c>
      <c r="G64" s="32">
        <v>69.7342</v>
      </c>
      <c r="H64" s="32">
        <v>69.248</v>
      </c>
      <c r="I64" s="32">
        <v>70.2468</v>
      </c>
      <c r="J64" s="32">
        <v>69.8113</v>
      </c>
      <c r="K64" s="32">
        <v>69.223</v>
      </c>
      <c r="L64" s="32">
        <v>70.1798</v>
      </c>
      <c r="M64" s="32">
        <v>69.8874</v>
      </c>
      <c r="N64" s="32">
        <v>69.8872</v>
      </c>
      <c r="O64" s="32">
        <v>69.509</v>
      </c>
      <c r="P64" s="32">
        <v>70.6452</v>
      </c>
      <c r="Q64" s="32">
        <v>69.7871</v>
      </c>
      <c r="R64" s="32">
        <v>69.3967</v>
      </c>
      <c r="S64" s="32">
        <v>69.5339</v>
      </c>
      <c r="T64" s="32">
        <v>69.6743</v>
      </c>
      <c r="U64" s="32">
        <v>70.3558</v>
      </c>
      <c r="V64" s="32">
        <v>69.6936</v>
      </c>
      <c r="W64" s="32">
        <v>69.3424</v>
      </c>
      <c r="X64" s="32">
        <v>69.4542</v>
      </c>
      <c r="Y64" s="32">
        <v>69.6685</v>
      </c>
      <c r="Z64" s="32">
        <v>69.4326</v>
      </c>
      <c r="AA64" s="32">
        <v>69.2822</v>
      </c>
      <c r="AB64" s="32">
        <v>74.402</v>
      </c>
      <c r="AC64" s="32">
        <v>74.0846</v>
      </c>
      <c r="AD64" s="32">
        <v>100</v>
      </c>
      <c r="AE64" s="32"/>
    </row>
    <row r="65" spans="1:31">
      <c r="A65" s="32" t="s">
        <v>105</v>
      </c>
      <c r="B65" s="32">
        <v>68.9167</v>
      </c>
      <c r="C65" s="32">
        <v>68.6802</v>
      </c>
      <c r="D65" s="32">
        <v>69.7043</v>
      </c>
      <c r="E65" s="32">
        <v>68.5519</v>
      </c>
      <c r="F65" s="32">
        <v>68.8904</v>
      </c>
      <c r="G65" s="32">
        <v>69.1148</v>
      </c>
      <c r="H65" s="32">
        <v>69.192</v>
      </c>
      <c r="I65" s="32">
        <v>70.1312</v>
      </c>
      <c r="J65" s="32">
        <v>69.6065</v>
      </c>
      <c r="K65" s="32">
        <v>69.2413</v>
      </c>
      <c r="L65" s="32">
        <v>70.3136</v>
      </c>
      <c r="M65" s="32">
        <v>69.9317</v>
      </c>
      <c r="N65" s="32">
        <v>69.8755</v>
      </c>
      <c r="O65" s="32">
        <v>69.3823</v>
      </c>
      <c r="P65" s="32">
        <v>70.4021</v>
      </c>
      <c r="Q65" s="32">
        <v>69.7258</v>
      </c>
      <c r="R65" s="32">
        <v>69.7699</v>
      </c>
      <c r="S65" s="32">
        <v>69.6034</v>
      </c>
      <c r="T65" s="32">
        <v>69.6581</v>
      </c>
      <c r="U65" s="32">
        <v>69.88</v>
      </c>
      <c r="V65" s="32">
        <v>69.6611</v>
      </c>
      <c r="W65" s="32">
        <v>69.3797</v>
      </c>
      <c r="X65" s="32">
        <v>69.3503</v>
      </c>
      <c r="Y65" s="32">
        <v>69.3523</v>
      </c>
      <c r="Z65" s="32">
        <v>69.32</v>
      </c>
      <c r="AA65" s="32">
        <v>69.3735</v>
      </c>
      <c r="AB65" s="32">
        <v>74.6811</v>
      </c>
      <c r="AC65" s="32">
        <v>74.5404</v>
      </c>
      <c r="AD65" s="32">
        <v>78.1771</v>
      </c>
      <c r="AE65" s="32">
        <v>100</v>
      </c>
    </row>
    <row r="66" spans="1:31">
      <c r="B66" s="37" t="s">
        <v>99</v>
      </c>
      <c r="C66" s="32" t="s">
        <v>112</v>
      </c>
      <c r="D66" s="32" t="s">
        <v>109</v>
      </c>
      <c r="E66" s="32" t="s">
        <v>128</v>
      </c>
      <c r="F66" s="32" t="s">
        <v>111</v>
      </c>
      <c r="G66" s="32" t="s">
        <v>108</v>
      </c>
      <c r="H66" s="32" t="s">
        <v>129</v>
      </c>
      <c r="I66" s="37" t="s">
        <v>101</v>
      </c>
      <c r="J66" s="37" t="s">
        <v>114</v>
      </c>
      <c r="K66" s="32" t="s">
        <v>123</v>
      </c>
      <c r="L66" s="32" t="s">
        <v>117</v>
      </c>
      <c r="M66" s="37" t="s">
        <v>102</v>
      </c>
      <c r="N66" s="32" t="s">
        <v>124</v>
      </c>
      <c r="O66" s="32" t="s">
        <v>127</v>
      </c>
      <c r="P66" s="32" t="s">
        <v>110</v>
      </c>
      <c r="Q66" s="32" t="s">
        <v>119</v>
      </c>
      <c r="R66" s="32" t="s">
        <v>116</v>
      </c>
      <c r="S66" s="32" t="s">
        <v>103</v>
      </c>
      <c r="T66" s="37" t="s">
        <v>115</v>
      </c>
      <c r="U66" s="37" t="s">
        <v>113</v>
      </c>
      <c r="V66" s="32" t="s">
        <v>120</v>
      </c>
      <c r="W66" s="37" t="s">
        <v>100</v>
      </c>
      <c r="X66" s="32" t="s">
        <v>125</v>
      </c>
      <c r="Y66" s="32" t="s">
        <v>118</v>
      </c>
      <c r="Z66" s="32" t="s">
        <v>121</v>
      </c>
      <c r="AA66" s="32" t="s">
        <v>126</v>
      </c>
      <c r="AB66" s="32" t="s">
        <v>106</v>
      </c>
      <c r="AC66" s="32" t="s">
        <v>107</v>
      </c>
      <c r="AD66" s="32" t="s">
        <v>104</v>
      </c>
      <c r="AE66" s="32" t="s">
        <v>105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workbookViewId="0">
      <selection activeCell="F1" sqref="F1"/>
    </sheetView>
  </sheetViews>
  <sheetFormatPr defaultColWidth="8.75454545454545" defaultRowHeight="14"/>
  <cols>
    <col min="1" max="1" width="27" customWidth="1"/>
    <col min="2" max="29" width="9.54545454545454"/>
  </cols>
  <sheetData>
    <row r="1" spans="1:24">
      <c r="A1" s="25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>
      <c r="A2" s="25" t="s">
        <v>130</v>
      </c>
      <c r="B2" s="29">
        <v>100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>
      <c r="A3" s="30" t="s">
        <v>131</v>
      </c>
      <c r="B3" s="29">
        <v>53.4</v>
      </c>
      <c r="C3" s="29">
        <v>100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>
      <c r="A4" s="30" t="s">
        <v>132</v>
      </c>
      <c r="B4" s="29">
        <v>53.44</v>
      </c>
      <c r="C4" s="29">
        <v>79.93</v>
      </c>
      <c r="D4" s="29">
        <v>100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>
      <c r="A5" s="30" t="s">
        <v>133</v>
      </c>
      <c r="B5" s="29">
        <v>53.33</v>
      </c>
      <c r="C5" s="29">
        <v>98.17</v>
      </c>
      <c r="D5" s="29">
        <v>80.1</v>
      </c>
      <c r="E5" s="29">
        <v>100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24">
      <c r="A6" s="30" t="s">
        <v>134</v>
      </c>
      <c r="B6" s="29">
        <v>53.3</v>
      </c>
      <c r="C6" s="29">
        <v>98.13</v>
      </c>
      <c r="D6" s="29">
        <v>80.05</v>
      </c>
      <c r="E6" s="29">
        <v>99.99</v>
      </c>
      <c r="F6" s="29">
        <v>100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>
      <c r="A7" s="30" t="s">
        <v>135</v>
      </c>
      <c r="B7" s="29">
        <v>53.31</v>
      </c>
      <c r="C7" s="29">
        <v>98.13</v>
      </c>
      <c r="D7" s="29">
        <v>80.05</v>
      </c>
      <c r="E7" s="29">
        <v>99.98</v>
      </c>
      <c r="F7" s="29">
        <v>99.98</v>
      </c>
      <c r="G7" s="29">
        <v>100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>
      <c r="A8" s="30" t="s">
        <v>136</v>
      </c>
      <c r="B8" s="29">
        <v>75.59</v>
      </c>
      <c r="C8" s="29">
        <v>53.97</v>
      </c>
      <c r="D8" s="29">
        <v>53.83</v>
      </c>
      <c r="E8" s="29">
        <v>53.87</v>
      </c>
      <c r="F8" s="29">
        <v>53.81</v>
      </c>
      <c r="G8" s="29">
        <v>53.83</v>
      </c>
      <c r="H8" s="29">
        <v>100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>
      <c r="A9" s="30" t="s">
        <v>137</v>
      </c>
      <c r="B9" s="29">
        <v>75.54</v>
      </c>
      <c r="C9" s="29">
        <v>53.89</v>
      </c>
      <c r="D9" s="29">
        <v>53.76</v>
      </c>
      <c r="E9" s="29">
        <v>53.84</v>
      </c>
      <c r="F9" s="29">
        <v>53.76</v>
      </c>
      <c r="G9" s="29">
        <v>53.78</v>
      </c>
      <c r="H9" s="29">
        <v>97.6</v>
      </c>
      <c r="I9" s="29">
        <v>100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>
      <c r="A10" s="30" t="s">
        <v>138</v>
      </c>
      <c r="B10" s="29">
        <v>69.59</v>
      </c>
      <c r="C10" s="29">
        <v>53.78</v>
      </c>
      <c r="D10" s="29">
        <v>53.57</v>
      </c>
      <c r="E10" s="29">
        <v>53.47</v>
      </c>
      <c r="F10" s="29">
        <v>53.42</v>
      </c>
      <c r="G10" s="29">
        <v>53.48</v>
      </c>
      <c r="H10" s="29">
        <v>70.78</v>
      </c>
      <c r="I10" s="29">
        <v>70.61</v>
      </c>
      <c r="J10" s="29">
        <v>100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>
      <c r="A11" s="30" t="s">
        <v>139</v>
      </c>
      <c r="B11" s="29">
        <v>65.02</v>
      </c>
      <c r="C11" s="29">
        <v>54.26</v>
      </c>
      <c r="D11" s="29">
        <v>53.9</v>
      </c>
      <c r="E11" s="29">
        <v>54.3</v>
      </c>
      <c r="F11" s="29">
        <v>54.25</v>
      </c>
      <c r="G11" s="29">
        <v>54.26</v>
      </c>
      <c r="H11" s="29">
        <v>65.12</v>
      </c>
      <c r="I11" s="29">
        <v>65.4</v>
      </c>
      <c r="J11" s="29">
        <v>65.93</v>
      </c>
      <c r="K11" s="29">
        <v>100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>
      <c r="A12" s="30" t="s">
        <v>140</v>
      </c>
      <c r="B12" s="29">
        <v>64.69</v>
      </c>
      <c r="C12" s="29">
        <v>54.42</v>
      </c>
      <c r="D12" s="29">
        <v>53.71</v>
      </c>
      <c r="E12" s="29">
        <v>54.17</v>
      </c>
      <c r="F12" s="29">
        <v>54.18</v>
      </c>
      <c r="G12" s="29">
        <v>54.19</v>
      </c>
      <c r="H12" s="29">
        <v>64.67</v>
      </c>
      <c r="I12" s="29">
        <v>64.72</v>
      </c>
      <c r="J12" s="29">
        <v>65.73</v>
      </c>
      <c r="K12" s="29">
        <v>83.02</v>
      </c>
      <c r="L12" s="29">
        <v>100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>
      <c r="A13" s="30" t="s">
        <v>141</v>
      </c>
      <c r="B13" s="29">
        <v>67.05</v>
      </c>
      <c r="C13" s="29">
        <v>54.73</v>
      </c>
      <c r="D13" s="29">
        <v>54.4</v>
      </c>
      <c r="E13" s="29">
        <v>54.44</v>
      </c>
      <c r="F13" s="29">
        <v>54.41</v>
      </c>
      <c r="G13" s="29">
        <v>54.44</v>
      </c>
      <c r="H13" s="29">
        <v>67.72</v>
      </c>
      <c r="I13" s="29">
        <v>67.58</v>
      </c>
      <c r="J13" s="29">
        <v>68.63</v>
      </c>
      <c r="K13" s="29">
        <v>70.3</v>
      </c>
      <c r="L13" s="29">
        <v>69.75</v>
      </c>
      <c r="M13" s="29">
        <v>100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>
      <c r="A14" s="30" t="s">
        <v>142</v>
      </c>
      <c r="B14" s="29">
        <v>68.96</v>
      </c>
      <c r="C14" s="29">
        <v>54.33</v>
      </c>
      <c r="D14" s="29">
        <v>54.12</v>
      </c>
      <c r="E14" s="29">
        <v>54.37</v>
      </c>
      <c r="F14" s="29">
        <v>54.3</v>
      </c>
      <c r="G14" s="29">
        <v>54.27</v>
      </c>
      <c r="H14" s="29">
        <v>70.91</v>
      </c>
      <c r="I14" s="29">
        <v>71.03</v>
      </c>
      <c r="J14" s="29">
        <v>71.31</v>
      </c>
      <c r="K14" s="29">
        <v>66.55</v>
      </c>
      <c r="L14" s="29">
        <v>66.35</v>
      </c>
      <c r="M14" s="29">
        <v>69.72</v>
      </c>
      <c r="N14" s="29">
        <v>100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>
      <c r="A15" s="30" t="s">
        <v>143</v>
      </c>
      <c r="B15" s="29">
        <v>65.03</v>
      </c>
      <c r="C15" s="29">
        <v>54.6</v>
      </c>
      <c r="D15" s="29">
        <v>53.88</v>
      </c>
      <c r="E15" s="29">
        <v>54.3</v>
      </c>
      <c r="F15" s="29">
        <v>54.25</v>
      </c>
      <c r="G15" s="29">
        <v>54.26</v>
      </c>
      <c r="H15" s="29">
        <v>65.14</v>
      </c>
      <c r="I15" s="29">
        <v>65.41</v>
      </c>
      <c r="J15" s="29">
        <v>65.93</v>
      </c>
      <c r="K15" s="29">
        <v>99.99</v>
      </c>
      <c r="L15" s="29">
        <v>83.04</v>
      </c>
      <c r="M15" s="29">
        <v>70.33</v>
      </c>
      <c r="N15" s="29">
        <v>66.54</v>
      </c>
      <c r="O15" s="29">
        <v>100</v>
      </c>
      <c r="P15" s="29"/>
      <c r="Q15" s="29"/>
      <c r="R15" s="29"/>
      <c r="S15" s="29"/>
      <c r="T15" s="29"/>
      <c r="U15" s="29"/>
      <c r="V15" s="29"/>
      <c r="W15" s="29"/>
      <c r="X15" s="29"/>
    </row>
    <row r="16" spans="1:24">
      <c r="A16" s="30" t="s">
        <v>144</v>
      </c>
      <c r="B16" s="29">
        <v>67.18</v>
      </c>
      <c r="C16" s="29">
        <v>54.67</v>
      </c>
      <c r="D16" s="29">
        <v>54.45</v>
      </c>
      <c r="E16" s="29">
        <v>54.63</v>
      </c>
      <c r="F16" s="29">
        <v>54.59</v>
      </c>
      <c r="G16" s="29">
        <v>54.63</v>
      </c>
      <c r="H16" s="29">
        <v>67.51</v>
      </c>
      <c r="I16" s="29">
        <v>67.91</v>
      </c>
      <c r="J16" s="29">
        <v>68.3</v>
      </c>
      <c r="K16" s="29">
        <v>70.04</v>
      </c>
      <c r="L16" s="29">
        <v>69.41</v>
      </c>
      <c r="M16" s="29">
        <v>78.5</v>
      </c>
      <c r="N16" s="29">
        <v>69.45</v>
      </c>
      <c r="O16" s="29">
        <v>70.03</v>
      </c>
      <c r="P16" s="29">
        <v>100</v>
      </c>
      <c r="Q16" s="29"/>
      <c r="R16" s="29"/>
      <c r="S16" s="29"/>
      <c r="T16" s="29"/>
      <c r="U16" s="29"/>
      <c r="V16" s="29"/>
      <c r="W16" s="29"/>
      <c r="X16" s="29"/>
    </row>
    <row r="17" spans="1:29">
      <c r="A17" s="30" t="s">
        <v>145</v>
      </c>
      <c r="B17" s="29">
        <v>67.04</v>
      </c>
      <c r="C17" s="29">
        <v>54.68</v>
      </c>
      <c r="D17" s="29">
        <v>54.48</v>
      </c>
      <c r="E17" s="29">
        <v>54.61</v>
      </c>
      <c r="F17" s="29">
        <v>54.56</v>
      </c>
      <c r="G17" s="29">
        <v>54.61</v>
      </c>
      <c r="H17" s="29">
        <v>67.48</v>
      </c>
      <c r="I17" s="29">
        <v>67.61</v>
      </c>
      <c r="J17" s="29">
        <v>68.45</v>
      </c>
      <c r="K17" s="29">
        <v>70.02</v>
      </c>
      <c r="L17" s="29">
        <v>69.63</v>
      </c>
      <c r="M17" s="29">
        <v>78.63</v>
      </c>
      <c r="N17" s="29">
        <v>69.38</v>
      </c>
      <c r="O17" s="29">
        <v>70</v>
      </c>
      <c r="P17" s="29">
        <v>99.26</v>
      </c>
      <c r="Q17" s="29">
        <v>100</v>
      </c>
      <c r="R17" s="29"/>
      <c r="S17" s="29"/>
      <c r="T17" s="29"/>
      <c r="U17" s="29"/>
      <c r="V17" s="29"/>
      <c r="W17" s="29"/>
      <c r="X17" s="29"/>
    </row>
    <row r="18" spans="1:29">
      <c r="A18" s="30" t="s">
        <v>146</v>
      </c>
      <c r="B18" s="29">
        <v>70.44</v>
      </c>
      <c r="C18" s="29">
        <v>54.36</v>
      </c>
      <c r="D18" s="29">
        <v>54.27</v>
      </c>
      <c r="E18" s="29">
        <v>54.07</v>
      </c>
      <c r="F18" s="29">
        <v>54.07</v>
      </c>
      <c r="G18" s="29">
        <v>54.09</v>
      </c>
      <c r="H18" s="29">
        <v>71.57</v>
      </c>
      <c r="I18" s="29">
        <v>71.25</v>
      </c>
      <c r="J18" s="29">
        <v>79.63</v>
      </c>
      <c r="K18" s="29">
        <v>66.86</v>
      </c>
      <c r="L18" s="29">
        <v>66.68</v>
      </c>
      <c r="M18" s="29">
        <v>69.14</v>
      </c>
      <c r="N18" s="29">
        <v>72.03</v>
      </c>
      <c r="O18" s="29">
        <v>66.88</v>
      </c>
      <c r="P18" s="29">
        <v>69.27</v>
      </c>
      <c r="Q18" s="29">
        <v>69.34</v>
      </c>
      <c r="R18" s="29">
        <v>100</v>
      </c>
      <c r="S18" s="29"/>
      <c r="T18" s="29"/>
      <c r="U18" s="29"/>
      <c r="V18" s="29"/>
      <c r="W18" s="29"/>
      <c r="X18" s="29"/>
    </row>
    <row r="19" spans="1:29">
      <c r="A19" s="30" t="s">
        <v>147</v>
      </c>
      <c r="B19" s="29">
        <v>70.37</v>
      </c>
      <c r="C19" s="29">
        <v>54.29</v>
      </c>
      <c r="D19" s="29">
        <v>54.22</v>
      </c>
      <c r="E19" s="29">
        <v>54.17</v>
      </c>
      <c r="F19" s="29">
        <v>54.16</v>
      </c>
      <c r="G19" s="29">
        <v>54.16</v>
      </c>
      <c r="H19" s="29">
        <v>71.37</v>
      </c>
      <c r="I19" s="29">
        <v>71.36</v>
      </c>
      <c r="J19" s="29">
        <v>79.34</v>
      </c>
      <c r="K19" s="29">
        <v>66.73</v>
      </c>
      <c r="L19" s="29">
        <v>66.53</v>
      </c>
      <c r="M19" s="29">
        <v>69.39</v>
      </c>
      <c r="N19" s="29">
        <v>71.91</v>
      </c>
      <c r="O19" s="29">
        <v>66.73</v>
      </c>
      <c r="P19" s="29">
        <v>69.43</v>
      </c>
      <c r="Q19" s="29">
        <v>69.22</v>
      </c>
      <c r="R19" s="29">
        <v>93.06</v>
      </c>
      <c r="S19" s="29">
        <v>100</v>
      </c>
      <c r="T19" s="29"/>
      <c r="U19" s="29"/>
      <c r="V19" s="29"/>
      <c r="W19" s="29"/>
      <c r="X19" s="29"/>
    </row>
    <row r="20" spans="1:29">
      <c r="A20" s="30" t="s">
        <v>148</v>
      </c>
      <c r="B20" s="29">
        <v>69.46</v>
      </c>
      <c r="C20" s="29">
        <v>54.56</v>
      </c>
      <c r="D20" s="29">
        <v>53.76</v>
      </c>
      <c r="E20" s="29">
        <v>53.97</v>
      </c>
      <c r="F20" s="29">
        <v>53.93</v>
      </c>
      <c r="G20" s="29">
        <v>53.94</v>
      </c>
      <c r="H20" s="29">
        <v>70.68</v>
      </c>
      <c r="I20" s="29">
        <v>70.55</v>
      </c>
      <c r="J20" s="29">
        <v>85.34</v>
      </c>
      <c r="K20" s="29">
        <v>65.9</v>
      </c>
      <c r="L20" s="29">
        <v>65.67</v>
      </c>
      <c r="M20" s="29">
        <v>68.46</v>
      </c>
      <c r="N20" s="29">
        <v>71.18</v>
      </c>
      <c r="O20" s="29">
        <v>65.9</v>
      </c>
      <c r="P20" s="29">
        <v>68.55</v>
      </c>
      <c r="Q20" s="29">
        <v>68.62</v>
      </c>
      <c r="R20" s="29">
        <v>79.52</v>
      </c>
      <c r="S20" s="29">
        <v>79.56</v>
      </c>
      <c r="T20" s="29">
        <v>100</v>
      </c>
      <c r="U20" s="29"/>
      <c r="V20" s="29"/>
      <c r="W20" s="29"/>
      <c r="X20" s="29"/>
    </row>
    <row r="21" spans="1:29">
      <c r="A21" s="30" t="s">
        <v>149</v>
      </c>
      <c r="B21" s="29">
        <v>65.95</v>
      </c>
      <c r="C21" s="29">
        <v>54.88</v>
      </c>
      <c r="D21" s="29">
        <v>54.71</v>
      </c>
      <c r="E21" s="29">
        <v>54.82</v>
      </c>
      <c r="F21" s="29">
        <v>54.77</v>
      </c>
      <c r="G21" s="29">
        <v>54.79</v>
      </c>
      <c r="H21" s="29">
        <v>66.46</v>
      </c>
      <c r="I21" s="29">
        <v>66.28</v>
      </c>
      <c r="J21" s="29">
        <v>67.04</v>
      </c>
      <c r="K21" s="29">
        <v>65.89</v>
      </c>
      <c r="L21" s="29">
        <v>65.62</v>
      </c>
      <c r="M21" s="29">
        <v>67.87</v>
      </c>
      <c r="N21" s="29">
        <v>69.61</v>
      </c>
      <c r="O21" s="29">
        <v>65.84</v>
      </c>
      <c r="P21" s="29">
        <v>68.2</v>
      </c>
      <c r="Q21" s="29">
        <v>68.23</v>
      </c>
      <c r="R21" s="29">
        <v>68.08</v>
      </c>
      <c r="S21" s="29">
        <v>68.15</v>
      </c>
      <c r="T21" s="29">
        <v>67.39</v>
      </c>
      <c r="U21" s="29">
        <v>100</v>
      </c>
      <c r="V21" s="29"/>
      <c r="W21" s="29"/>
      <c r="X21" s="29"/>
    </row>
    <row r="22" spans="1:29">
      <c r="A22" s="30" t="s">
        <v>150</v>
      </c>
      <c r="B22" s="29">
        <v>66.6</v>
      </c>
      <c r="C22" s="29">
        <v>54.74</v>
      </c>
      <c r="D22" s="29">
        <v>54.68</v>
      </c>
      <c r="E22" s="29">
        <v>54.91</v>
      </c>
      <c r="F22" s="29">
        <v>54.86</v>
      </c>
      <c r="G22" s="29">
        <v>54.86</v>
      </c>
      <c r="H22" s="29">
        <v>67.03</v>
      </c>
      <c r="I22" s="29">
        <v>66.86</v>
      </c>
      <c r="J22" s="29">
        <v>67.72</v>
      </c>
      <c r="K22" s="29">
        <v>66.56</v>
      </c>
      <c r="L22" s="29">
        <v>65.93</v>
      </c>
      <c r="M22" s="29">
        <v>68.74</v>
      </c>
      <c r="N22" s="29">
        <v>70.4</v>
      </c>
      <c r="O22" s="29">
        <v>66.52</v>
      </c>
      <c r="P22" s="29">
        <v>68.96</v>
      </c>
      <c r="Q22" s="29">
        <v>69.05</v>
      </c>
      <c r="R22" s="29">
        <v>68.77</v>
      </c>
      <c r="S22" s="29">
        <v>69.1</v>
      </c>
      <c r="T22" s="29">
        <v>68.01</v>
      </c>
      <c r="U22" s="29">
        <v>79.67</v>
      </c>
      <c r="V22" s="29">
        <v>100</v>
      </c>
      <c r="W22" s="29"/>
      <c r="X22" s="29"/>
    </row>
    <row r="23" spans="1:29">
      <c r="A23" s="30" t="s">
        <v>151</v>
      </c>
      <c r="B23" s="29">
        <v>65.67</v>
      </c>
      <c r="C23" s="29">
        <v>54.79</v>
      </c>
      <c r="D23" s="29">
        <v>54.34</v>
      </c>
      <c r="E23" s="29">
        <v>54.84</v>
      </c>
      <c r="F23" s="29">
        <v>54.79</v>
      </c>
      <c r="G23" s="29">
        <v>54.78</v>
      </c>
      <c r="H23" s="29">
        <v>65.67</v>
      </c>
      <c r="I23" s="29">
        <v>65.58</v>
      </c>
      <c r="J23" s="29">
        <v>66.28</v>
      </c>
      <c r="K23" s="29">
        <v>65.8</v>
      </c>
      <c r="L23" s="29">
        <v>65.33</v>
      </c>
      <c r="M23" s="29">
        <v>67.52</v>
      </c>
      <c r="N23" s="29">
        <v>68.52</v>
      </c>
      <c r="O23" s="29">
        <v>65.79</v>
      </c>
      <c r="P23" s="29">
        <v>67.75</v>
      </c>
      <c r="Q23" s="29">
        <v>67.68</v>
      </c>
      <c r="R23" s="29">
        <v>67.65</v>
      </c>
      <c r="S23" s="29">
        <v>67.67</v>
      </c>
      <c r="T23" s="29">
        <v>66.87</v>
      </c>
      <c r="U23" s="29">
        <v>77.51</v>
      </c>
      <c r="V23" s="29">
        <v>76.51</v>
      </c>
      <c r="W23" s="29">
        <v>100</v>
      </c>
      <c r="X23" s="29"/>
    </row>
    <row r="24" spans="1:29">
      <c r="A24" s="30" t="s">
        <v>152</v>
      </c>
      <c r="B24" s="29">
        <v>66.52</v>
      </c>
      <c r="C24" s="29">
        <v>54.69</v>
      </c>
      <c r="D24" s="29">
        <v>54.67</v>
      </c>
      <c r="E24" s="29">
        <v>54.7</v>
      </c>
      <c r="F24" s="29">
        <v>54.66</v>
      </c>
      <c r="G24" s="29">
        <v>54.66</v>
      </c>
      <c r="H24" s="29">
        <v>66.66</v>
      </c>
      <c r="I24" s="29">
        <v>66.56</v>
      </c>
      <c r="J24" s="29">
        <v>67.45</v>
      </c>
      <c r="K24" s="29">
        <v>66.32</v>
      </c>
      <c r="L24" s="29">
        <v>65.82</v>
      </c>
      <c r="M24" s="29">
        <v>68.6</v>
      </c>
      <c r="N24" s="29">
        <v>70.28</v>
      </c>
      <c r="O24" s="29">
        <v>66.33</v>
      </c>
      <c r="P24" s="29">
        <v>68.73</v>
      </c>
      <c r="Q24" s="29">
        <v>68.93</v>
      </c>
      <c r="R24" s="29">
        <v>68.55</v>
      </c>
      <c r="S24" s="29">
        <v>68.67</v>
      </c>
      <c r="T24" s="29">
        <v>67.75</v>
      </c>
      <c r="U24" s="29">
        <v>79.49</v>
      </c>
      <c r="V24" s="29">
        <v>88.76</v>
      </c>
      <c r="W24" s="29">
        <v>76.27</v>
      </c>
      <c r="X24" s="29">
        <v>100</v>
      </c>
    </row>
    <row r="25" spans="1:29">
      <c r="A25" s="28"/>
      <c r="B25" s="25" t="s">
        <v>130</v>
      </c>
      <c r="C25" s="30" t="s">
        <v>131</v>
      </c>
      <c r="D25" s="30" t="s">
        <v>132</v>
      </c>
      <c r="E25" s="30" t="s">
        <v>133</v>
      </c>
      <c r="F25" s="30" t="s">
        <v>134</v>
      </c>
      <c r="G25" s="30" t="s">
        <v>135</v>
      </c>
      <c r="H25" s="30" t="s">
        <v>136</v>
      </c>
      <c r="I25" s="30" t="s">
        <v>137</v>
      </c>
      <c r="J25" s="30" t="s">
        <v>138</v>
      </c>
      <c r="K25" s="30" t="s">
        <v>139</v>
      </c>
      <c r="L25" s="30" t="s">
        <v>140</v>
      </c>
      <c r="M25" s="30" t="s">
        <v>141</v>
      </c>
      <c r="N25" s="30" t="s">
        <v>142</v>
      </c>
      <c r="O25" s="30" t="s">
        <v>143</v>
      </c>
      <c r="P25" s="30" t="s">
        <v>144</v>
      </c>
      <c r="Q25" s="30" t="s">
        <v>145</v>
      </c>
      <c r="R25" s="30" t="s">
        <v>146</v>
      </c>
      <c r="S25" s="30" t="s">
        <v>147</v>
      </c>
      <c r="T25" s="30" t="s">
        <v>148</v>
      </c>
      <c r="U25" s="30" t="s">
        <v>149</v>
      </c>
      <c r="V25" s="30" t="s">
        <v>150</v>
      </c>
      <c r="W25" s="30" t="s">
        <v>151</v>
      </c>
      <c r="X25" s="30" t="s">
        <v>152</v>
      </c>
    </row>
    <row r="28" spans="1:29">
      <c r="A28" s="25" t="s">
        <v>67</v>
      </c>
    </row>
    <row r="29" spans="1:29">
      <c r="A29" s="31" t="s">
        <v>130</v>
      </c>
      <c r="B29" s="32">
        <v>100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spans="1:29">
      <c r="A30" s="32" t="s">
        <v>131</v>
      </c>
      <c r="B30" s="32">
        <v>74.1328</v>
      </c>
      <c r="C30" s="32">
        <v>100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spans="1:29">
      <c r="A31" s="32" t="s">
        <v>132</v>
      </c>
      <c r="B31" s="32">
        <v>73.7197</v>
      </c>
      <c r="C31" s="32">
        <v>75.2266</v>
      </c>
      <c r="D31" s="32">
        <v>100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spans="1:29">
      <c r="A32" s="32" t="s">
        <v>133</v>
      </c>
      <c r="B32" s="32">
        <v>73.5222</v>
      </c>
      <c r="C32" s="32">
        <v>74.5702</v>
      </c>
      <c r="D32" s="32">
        <v>79.7239</v>
      </c>
      <c r="E32" s="32">
        <v>100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spans="1:29">
      <c r="A33" s="32" t="s">
        <v>134</v>
      </c>
      <c r="B33" s="32">
        <v>72.1969</v>
      </c>
      <c r="C33" s="32">
        <v>72.3333</v>
      </c>
      <c r="D33" s="32">
        <v>71.7474</v>
      </c>
      <c r="E33" s="32">
        <v>71.4759</v>
      </c>
      <c r="F33" s="32">
        <v>100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>
      <c r="A34" s="32" t="s">
        <v>135</v>
      </c>
      <c r="B34" s="32">
        <v>72.7612</v>
      </c>
      <c r="C34" s="32">
        <v>71.9758</v>
      </c>
      <c r="D34" s="32">
        <v>72.0263</v>
      </c>
      <c r="E34" s="32">
        <v>71.7393</v>
      </c>
      <c r="F34" s="32">
        <v>77.8572</v>
      </c>
      <c r="G34" s="32">
        <v>100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 spans="1:29">
      <c r="A35" s="32" t="s">
        <v>136</v>
      </c>
      <c r="B35" s="32">
        <v>71.7996</v>
      </c>
      <c r="C35" s="32">
        <v>72.1676</v>
      </c>
      <c r="D35" s="32">
        <v>71.6626</v>
      </c>
      <c r="E35" s="32">
        <v>71.3417</v>
      </c>
      <c r="F35" s="32">
        <v>76.8928</v>
      </c>
      <c r="G35" s="32">
        <v>75.7332</v>
      </c>
      <c r="H35" s="32">
        <v>100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spans="1:29">
      <c r="A36" s="32" t="s">
        <v>137</v>
      </c>
      <c r="B36" s="32">
        <v>71.6274</v>
      </c>
      <c r="C36" s="32">
        <v>71.756</v>
      </c>
      <c r="D36" s="32">
        <v>71.4533</v>
      </c>
      <c r="E36" s="32">
        <v>71.691</v>
      </c>
      <c r="F36" s="32">
        <v>76.792</v>
      </c>
      <c r="G36" s="32">
        <v>76.0789</v>
      </c>
      <c r="H36" s="32">
        <v>82.1094</v>
      </c>
      <c r="I36" s="32">
        <v>100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spans="1:29">
      <c r="A37" s="32" t="s">
        <v>138</v>
      </c>
      <c r="B37" s="32">
        <v>71.762</v>
      </c>
      <c r="C37" s="32">
        <v>71.9791</v>
      </c>
      <c r="D37" s="32">
        <v>71.6314</v>
      </c>
      <c r="E37" s="32">
        <v>71.593</v>
      </c>
      <c r="F37" s="32">
        <v>77.1272</v>
      </c>
      <c r="G37" s="32">
        <v>76.0461</v>
      </c>
      <c r="H37" s="32">
        <v>82.3808</v>
      </c>
      <c r="I37" s="32">
        <v>92.2795</v>
      </c>
      <c r="J37" s="32">
        <v>100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spans="1:29">
      <c r="A38" s="32" t="s">
        <v>139</v>
      </c>
      <c r="B38" s="32">
        <v>70.9992</v>
      </c>
      <c r="C38" s="32">
        <v>72.0167</v>
      </c>
      <c r="D38" s="32">
        <v>71.3783</v>
      </c>
      <c r="E38" s="32">
        <v>71.2417</v>
      </c>
      <c r="F38" s="32">
        <v>72.59</v>
      </c>
      <c r="G38" s="32">
        <v>71.6328</v>
      </c>
      <c r="H38" s="32">
        <v>72.2613</v>
      </c>
      <c r="I38" s="32">
        <v>72.0786</v>
      </c>
      <c r="J38" s="32">
        <v>72.1361</v>
      </c>
      <c r="K38" s="32">
        <v>100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spans="1:29">
      <c r="A39" s="32" t="s">
        <v>140</v>
      </c>
      <c r="B39" s="32">
        <v>71.172</v>
      </c>
      <c r="C39" s="32">
        <v>71.0811</v>
      </c>
      <c r="D39" s="32">
        <v>70.9536</v>
      </c>
      <c r="E39" s="32">
        <v>70.7481</v>
      </c>
      <c r="F39" s="32">
        <v>72.3065</v>
      </c>
      <c r="G39" s="32">
        <v>71.6436</v>
      </c>
      <c r="H39" s="32">
        <v>71.8071</v>
      </c>
      <c r="I39" s="32">
        <v>71.3646</v>
      </c>
      <c r="J39" s="32">
        <v>71.7399</v>
      </c>
      <c r="K39" s="32">
        <v>71.5112</v>
      </c>
      <c r="L39" s="32">
        <v>100</v>
      </c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spans="1:29">
      <c r="A40" s="32" t="s">
        <v>141</v>
      </c>
      <c r="B40" s="32">
        <v>71.3665</v>
      </c>
      <c r="C40" s="32">
        <v>71.1376</v>
      </c>
      <c r="D40" s="32">
        <v>71.0473</v>
      </c>
      <c r="E40" s="32">
        <v>70.7269</v>
      </c>
      <c r="F40" s="32">
        <v>72.3438</v>
      </c>
      <c r="G40" s="32">
        <v>71.5385</v>
      </c>
      <c r="H40" s="32">
        <v>71.9095</v>
      </c>
      <c r="I40" s="32">
        <v>71.4195</v>
      </c>
      <c r="J40" s="32">
        <v>71.6763</v>
      </c>
      <c r="K40" s="32">
        <v>71.4917</v>
      </c>
      <c r="L40" s="32">
        <v>97.6513</v>
      </c>
      <c r="M40" s="32">
        <v>100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spans="1:29">
      <c r="A41" s="32" t="s">
        <v>142</v>
      </c>
      <c r="B41" s="32">
        <v>70.7417</v>
      </c>
      <c r="C41" s="32">
        <v>71.0775</v>
      </c>
      <c r="D41" s="32">
        <v>70.5896</v>
      </c>
      <c r="E41" s="32">
        <v>70.5949</v>
      </c>
      <c r="F41" s="32">
        <v>71.8088</v>
      </c>
      <c r="G41" s="32">
        <v>71.2533</v>
      </c>
      <c r="H41" s="32">
        <v>71.5699</v>
      </c>
      <c r="I41" s="32">
        <v>71.2622</v>
      </c>
      <c r="J41" s="32">
        <v>71.5954</v>
      </c>
      <c r="K41" s="32">
        <v>71.5637</v>
      </c>
      <c r="L41" s="32">
        <v>82.9841</v>
      </c>
      <c r="M41" s="32">
        <v>83.0465</v>
      </c>
      <c r="N41" s="32">
        <v>100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spans="1:29">
      <c r="A42" s="32" t="s">
        <v>143</v>
      </c>
      <c r="B42" s="32">
        <v>71.1453</v>
      </c>
      <c r="C42" s="32">
        <v>71.1597</v>
      </c>
      <c r="D42" s="32">
        <v>70.9585</v>
      </c>
      <c r="E42" s="32">
        <v>71.166</v>
      </c>
      <c r="F42" s="32">
        <v>71.4648</v>
      </c>
      <c r="G42" s="32">
        <v>71.5633</v>
      </c>
      <c r="H42" s="32">
        <v>71.2444</v>
      </c>
      <c r="I42" s="32">
        <v>71.0354</v>
      </c>
      <c r="J42" s="32">
        <v>71.6943</v>
      </c>
      <c r="K42" s="32">
        <v>70.9603</v>
      </c>
      <c r="L42" s="32">
        <v>76.3608</v>
      </c>
      <c r="M42" s="32">
        <v>76.3362</v>
      </c>
      <c r="N42" s="32">
        <v>75.8351</v>
      </c>
      <c r="O42" s="32">
        <v>100</v>
      </c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spans="1:29">
      <c r="A43" s="32" t="s">
        <v>144</v>
      </c>
      <c r="B43" s="32">
        <v>71.0244</v>
      </c>
      <c r="C43" s="32">
        <v>71.0222</v>
      </c>
      <c r="D43" s="32">
        <v>70.6248</v>
      </c>
      <c r="E43" s="32">
        <v>70.8001</v>
      </c>
      <c r="F43" s="32">
        <v>71.9557</v>
      </c>
      <c r="G43" s="32">
        <v>71.1586</v>
      </c>
      <c r="H43" s="32">
        <v>71.4291</v>
      </c>
      <c r="I43" s="32">
        <v>71.1706</v>
      </c>
      <c r="J43" s="32">
        <v>71.4163</v>
      </c>
      <c r="K43" s="32">
        <v>71.3419</v>
      </c>
      <c r="L43" s="32">
        <v>81.0177</v>
      </c>
      <c r="M43" s="32">
        <v>80.9079</v>
      </c>
      <c r="N43" s="32">
        <v>85.8269</v>
      </c>
      <c r="O43" s="32">
        <v>75.1238</v>
      </c>
      <c r="P43" s="32">
        <v>100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spans="1:29">
      <c r="A44" s="32" t="s">
        <v>145</v>
      </c>
      <c r="B44" s="32">
        <v>70.9898</v>
      </c>
      <c r="C44" s="32">
        <v>70.7945</v>
      </c>
      <c r="D44" s="32">
        <v>70.7973</v>
      </c>
      <c r="E44" s="32">
        <v>70.7239</v>
      </c>
      <c r="F44" s="32">
        <v>71.9775</v>
      </c>
      <c r="G44" s="32">
        <v>71.3083</v>
      </c>
      <c r="H44" s="32">
        <v>71.5839</v>
      </c>
      <c r="I44" s="32">
        <v>71.2364</v>
      </c>
      <c r="J44" s="32">
        <v>71.5327</v>
      </c>
      <c r="K44" s="32">
        <v>71.3712</v>
      </c>
      <c r="L44" s="32">
        <v>80.9463</v>
      </c>
      <c r="M44" s="32">
        <v>80.8836</v>
      </c>
      <c r="N44" s="32">
        <v>85.7612</v>
      </c>
      <c r="O44" s="32">
        <v>75.1418</v>
      </c>
      <c r="P44" s="32">
        <v>95.1007</v>
      </c>
      <c r="Q44" s="32">
        <v>100</v>
      </c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spans="1:29">
      <c r="A45" s="32" t="s">
        <v>146</v>
      </c>
      <c r="B45" s="32">
        <v>71.0257</v>
      </c>
      <c r="C45" s="32">
        <v>70.9724</v>
      </c>
      <c r="D45" s="32">
        <v>70.6019</v>
      </c>
      <c r="E45" s="32">
        <v>70.6631</v>
      </c>
      <c r="F45" s="32">
        <v>72.0619</v>
      </c>
      <c r="G45" s="32">
        <v>71.3671</v>
      </c>
      <c r="H45" s="32">
        <v>71.7486</v>
      </c>
      <c r="I45" s="32">
        <v>71.2555</v>
      </c>
      <c r="J45" s="32">
        <v>71.5617</v>
      </c>
      <c r="K45" s="32">
        <v>71.4926</v>
      </c>
      <c r="L45" s="32">
        <v>81.3835</v>
      </c>
      <c r="M45" s="32">
        <v>81.354</v>
      </c>
      <c r="N45" s="32">
        <v>86.9075</v>
      </c>
      <c r="O45" s="32">
        <v>75.4547</v>
      </c>
      <c r="P45" s="32">
        <v>91.3258</v>
      </c>
      <c r="Q45" s="32">
        <v>90.7897</v>
      </c>
      <c r="R45" s="32">
        <v>100</v>
      </c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spans="1:29">
      <c r="A46" s="32" t="s">
        <v>147</v>
      </c>
      <c r="B46" s="32">
        <v>71.4397</v>
      </c>
      <c r="C46" s="32">
        <v>70.7026</v>
      </c>
      <c r="D46" s="32">
        <v>71.0197</v>
      </c>
      <c r="E46" s="32">
        <v>70.6565</v>
      </c>
      <c r="F46" s="32">
        <v>71.3183</v>
      </c>
      <c r="G46" s="32">
        <v>71.6229</v>
      </c>
      <c r="H46" s="32">
        <v>70.6399</v>
      </c>
      <c r="I46" s="32">
        <v>70.7041</v>
      </c>
      <c r="J46" s="32">
        <v>70.7471</v>
      </c>
      <c r="K46" s="32">
        <v>70.3626</v>
      </c>
      <c r="L46" s="32">
        <v>72.0718</v>
      </c>
      <c r="M46" s="32">
        <v>72.1332</v>
      </c>
      <c r="N46" s="32">
        <v>71.6808</v>
      </c>
      <c r="O46" s="32">
        <v>72.0578</v>
      </c>
      <c r="P46" s="32">
        <v>71.6504</v>
      </c>
      <c r="Q46" s="32">
        <v>71.6798</v>
      </c>
      <c r="R46" s="32">
        <v>71.6712</v>
      </c>
      <c r="S46" s="32">
        <v>100</v>
      </c>
      <c r="T46" s="32"/>
      <c r="U46" s="32"/>
      <c r="V46" s="32"/>
      <c r="W46" s="32"/>
      <c r="X46" s="32"/>
      <c r="Y46" s="32"/>
      <c r="Z46" s="32"/>
      <c r="AA46" s="32"/>
      <c r="AB46" s="32"/>
      <c r="AC46" s="32"/>
    </row>
    <row r="47" spans="1:29">
      <c r="A47" s="32" t="s">
        <v>148</v>
      </c>
      <c r="B47" s="32">
        <v>71.0404</v>
      </c>
      <c r="C47" s="32">
        <v>70.6649</v>
      </c>
      <c r="D47" s="32">
        <v>70.7594</v>
      </c>
      <c r="E47" s="32">
        <v>70.802</v>
      </c>
      <c r="F47" s="32">
        <v>70.9824</v>
      </c>
      <c r="G47" s="32">
        <v>71.5137</v>
      </c>
      <c r="H47" s="32">
        <v>70.7155</v>
      </c>
      <c r="I47" s="32">
        <v>70.876</v>
      </c>
      <c r="J47" s="32">
        <v>70.9239</v>
      </c>
      <c r="K47" s="32">
        <v>70.3641</v>
      </c>
      <c r="L47" s="32">
        <v>71.7702</v>
      </c>
      <c r="M47" s="32">
        <v>71.737</v>
      </c>
      <c r="N47" s="32">
        <v>71.4966</v>
      </c>
      <c r="O47" s="32">
        <v>71.5109</v>
      </c>
      <c r="P47" s="32">
        <v>71.3409</v>
      </c>
      <c r="Q47" s="32">
        <v>71.3058</v>
      </c>
      <c r="R47" s="32">
        <v>71.3183</v>
      </c>
      <c r="S47" s="32">
        <v>74.2427</v>
      </c>
      <c r="T47" s="32">
        <v>100</v>
      </c>
      <c r="U47" s="32"/>
      <c r="V47" s="32"/>
      <c r="W47" s="32"/>
      <c r="X47" s="32"/>
      <c r="Y47" s="32"/>
      <c r="Z47" s="32"/>
      <c r="AA47" s="32"/>
      <c r="AB47" s="32"/>
      <c r="AC47" s="32"/>
    </row>
    <row r="48" spans="1:29">
      <c r="A48" s="32" t="s">
        <v>149</v>
      </c>
      <c r="B48" s="32">
        <v>71.095</v>
      </c>
      <c r="C48" s="32">
        <v>70.6241</v>
      </c>
      <c r="D48" s="32">
        <v>70.8223</v>
      </c>
      <c r="E48" s="32">
        <v>70.7634</v>
      </c>
      <c r="F48" s="32">
        <v>70.9558</v>
      </c>
      <c r="G48" s="32">
        <v>71.4924</v>
      </c>
      <c r="H48" s="32">
        <v>70.6835</v>
      </c>
      <c r="I48" s="32">
        <v>70.9066</v>
      </c>
      <c r="J48" s="32">
        <v>70.951</v>
      </c>
      <c r="K48" s="32">
        <v>70.3776</v>
      </c>
      <c r="L48" s="32">
        <v>71.7103</v>
      </c>
      <c r="M48" s="32">
        <v>71.6544</v>
      </c>
      <c r="N48" s="32">
        <v>71.4267</v>
      </c>
      <c r="O48" s="32">
        <v>71.4884</v>
      </c>
      <c r="P48" s="32">
        <v>71.3027</v>
      </c>
      <c r="Q48" s="32">
        <v>71.2777</v>
      </c>
      <c r="R48" s="32">
        <v>71.2296</v>
      </c>
      <c r="S48" s="32">
        <v>74.2683</v>
      </c>
      <c r="T48" s="32">
        <v>99.9917</v>
      </c>
      <c r="U48" s="32">
        <v>100</v>
      </c>
      <c r="V48" s="32"/>
      <c r="W48" s="32"/>
      <c r="X48" s="32"/>
      <c r="Y48" s="32"/>
      <c r="Z48" s="32"/>
      <c r="AA48" s="32"/>
      <c r="AB48" s="32"/>
      <c r="AC48" s="32"/>
    </row>
    <row r="49" spans="1:29">
      <c r="A49" s="32" t="s">
        <v>150</v>
      </c>
      <c r="B49" s="32">
        <v>71.0666</v>
      </c>
      <c r="C49" s="32">
        <v>70.5894</v>
      </c>
      <c r="D49" s="32">
        <v>70.795</v>
      </c>
      <c r="E49" s="32">
        <v>70.7207</v>
      </c>
      <c r="F49" s="32">
        <v>70.8956</v>
      </c>
      <c r="G49" s="32">
        <v>71.3929</v>
      </c>
      <c r="H49" s="32">
        <v>70.7876</v>
      </c>
      <c r="I49" s="32">
        <v>71.2138</v>
      </c>
      <c r="J49" s="32">
        <v>71.3207</v>
      </c>
      <c r="K49" s="32">
        <v>70.3534</v>
      </c>
      <c r="L49" s="32">
        <v>71.7331</v>
      </c>
      <c r="M49" s="32">
        <v>71.6459</v>
      </c>
      <c r="N49" s="32">
        <v>71.4145</v>
      </c>
      <c r="O49" s="32">
        <v>71.5186</v>
      </c>
      <c r="P49" s="32">
        <v>71.3213</v>
      </c>
      <c r="Q49" s="32">
        <v>71.3797</v>
      </c>
      <c r="R49" s="32">
        <v>71.0518</v>
      </c>
      <c r="S49" s="32">
        <v>74.1741</v>
      </c>
      <c r="T49" s="32">
        <v>99.9766</v>
      </c>
      <c r="U49" s="32">
        <v>99.9863</v>
      </c>
      <c r="V49" s="32">
        <v>100</v>
      </c>
      <c r="W49" s="32"/>
      <c r="X49" s="32"/>
      <c r="Y49" s="32"/>
      <c r="Z49" s="32"/>
      <c r="AA49" s="32"/>
      <c r="AB49" s="32"/>
      <c r="AC49" s="32"/>
    </row>
    <row r="50" spans="1:29">
      <c r="A50" s="32" t="s">
        <v>151</v>
      </c>
      <c r="B50" s="32">
        <v>70.6625</v>
      </c>
      <c r="C50" s="32">
        <v>70.4563</v>
      </c>
      <c r="D50" s="32">
        <v>70.4055</v>
      </c>
      <c r="E50" s="32">
        <v>70.4146</v>
      </c>
      <c r="F50" s="32">
        <v>70.643</v>
      </c>
      <c r="G50" s="32">
        <v>70.9701</v>
      </c>
      <c r="H50" s="32">
        <v>70.4612</v>
      </c>
      <c r="I50" s="32">
        <v>70.7073</v>
      </c>
      <c r="J50" s="32">
        <v>70.6569</v>
      </c>
      <c r="K50" s="32">
        <v>70.3782</v>
      </c>
      <c r="L50" s="32">
        <v>71.3989</v>
      </c>
      <c r="M50" s="32">
        <v>71.423</v>
      </c>
      <c r="N50" s="32">
        <v>71.2473</v>
      </c>
      <c r="O50" s="32">
        <v>70.8532</v>
      </c>
      <c r="P50" s="32">
        <v>71.0785</v>
      </c>
      <c r="Q50" s="32">
        <v>71.1261</v>
      </c>
      <c r="R50" s="32">
        <v>71.0925</v>
      </c>
      <c r="S50" s="32">
        <v>73.2049</v>
      </c>
      <c r="T50" s="32">
        <v>79.4578</v>
      </c>
      <c r="U50" s="32">
        <v>79.4505</v>
      </c>
      <c r="V50" s="32">
        <v>79.4509</v>
      </c>
      <c r="W50" s="32">
        <v>100</v>
      </c>
      <c r="X50" s="32"/>
      <c r="Y50" s="32"/>
      <c r="Z50" s="32"/>
      <c r="AA50" s="32"/>
      <c r="AB50" s="32"/>
      <c r="AC50" s="32"/>
    </row>
    <row r="51" spans="1:29">
      <c r="A51" s="32" t="s">
        <v>152</v>
      </c>
      <c r="B51" s="32">
        <v>71.0774</v>
      </c>
      <c r="C51" s="32">
        <v>70.6707</v>
      </c>
      <c r="D51" s="32">
        <v>70.5142</v>
      </c>
      <c r="E51" s="32">
        <v>70.5363</v>
      </c>
      <c r="F51" s="32">
        <v>71.008</v>
      </c>
      <c r="G51" s="32">
        <v>70.9704</v>
      </c>
      <c r="H51" s="32">
        <v>70.7788</v>
      </c>
      <c r="I51" s="32">
        <v>70.5928</v>
      </c>
      <c r="J51" s="32">
        <v>70.7462</v>
      </c>
      <c r="K51" s="32">
        <v>70.72</v>
      </c>
      <c r="L51" s="32">
        <v>71.6589</v>
      </c>
      <c r="M51" s="32">
        <v>71.6559</v>
      </c>
      <c r="N51" s="32">
        <v>71.403</v>
      </c>
      <c r="O51" s="32">
        <v>71.4</v>
      </c>
      <c r="P51" s="32">
        <v>71.4041</v>
      </c>
      <c r="Q51" s="32">
        <v>71.3476</v>
      </c>
      <c r="R51" s="32">
        <v>71.3229</v>
      </c>
      <c r="S51" s="32">
        <v>73.4439</v>
      </c>
      <c r="T51" s="32">
        <v>79.4649</v>
      </c>
      <c r="U51" s="32">
        <v>79.4655</v>
      </c>
      <c r="V51" s="32">
        <v>79.4657</v>
      </c>
      <c r="W51" s="32">
        <v>91.7348</v>
      </c>
      <c r="X51" s="32">
        <v>100</v>
      </c>
      <c r="Y51" s="32"/>
      <c r="Z51" s="32"/>
      <c r="AA51" s="32"/>
      <c r="AB51" s="32"/>
      <c r="AC51" s="32"/>
    </row>
    <row r="52" spans="1:29">
      <c r="B52" s="31" t="s">
        <v>130</v>
      </c>
      <c r="C52" s="32" t="s">
        <v>131</v>
      </c>
      <c r="D52" s="32" t="s">
        <v>132</v>
      </c>
      <c r="E52" s="32" t="s">
        <v>133</v>
      </c>
      <c r="F52" s="32" t="s">
        <v>134</v>
      </c>
      <c r="G52" s="32" t="s">
        <v>135</v>
      </c>
      <c r="H52" s="32" t="s">
        <v>136</v>
      </c>
      <c r="I52" s="32" t="s">
        <v>137</v>
      </c>
      <c r="J52" s="32" t="s">
        <v>138</v>
      </c>
      <c r="K52" s="32" t="s">
        <v>139</v>
      </c>
      <c r="L52" s="32" t="s">
        <v>140</v>
      </c>
      <c r="M52" s="32" t="s">
        <v>141</v>
      </c>
      <c r="N52" s="32" t="s">
        <v>142</v>
      </c>
      <c r="O52" s="32" t="s">
        <v>143</v>
      </c>
      <c r="P52" s="32" t="s">
        <v>144</v>
      </c>
      <c r="Q52" s="32" t="s">
        <v>145</v>
      </c>
      <c r="R52" s="32" t="s">
        <v>146</v>
      </c>
      <c r="S52" s="32" t="s">
        <v>147</v>
      </c>
      <c r="T52" s="32" t="s">
        <v>148</v>
      </c>
      <c r="U52" s="32" t="s">
        <v>149</v>
      </c>
      <c r="V52" s="32" t="s">
        <v>150</v>
      </c>
      <c r="W52" s="32" t="s">
        <v>151</v>
      </c>
      <c r="X52" s="32" t="s">
        <v>152</v>
      </c>
      <c r="Y52" s="32"/>
      <c r="Z52" s="32"/>
      <c r="AA52" s="32"/>
      <c r="AB52" s="32"/>
      <c r="AC52" s="32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3"/>
  <sheetViews>
    <sheetView zoomScale="85" zoomScaleNormal="85" workbookViewId="0">
      <selection activeCell="A1" sqref="A1"/>
    </sheetView>
  </sheetViews>
  <sheetFormatPr defaultColWidth="8.72727272727273" defaultRowHeight="14"/>
  <cols>
    <col min="1" max="1" width="35.3636363636364" style="24" customWidth="1"/>
    <col min="2" max="2" width="16.8181818181818" style="24" customWidth="1"/>
    <col min="3" max="30" width="11.7272727272727" style="24"/>
  </cols>
  <sheetData>
    <row r="1" spans="1:30">
      <c r="A1" s="25" t="s">
        <v>41</v>
      </c>
      <c r="B1" s="26" t="s">
        <v>153</v>
      </c>
      <c r="C1" s="27" t="s">
        <v>154</v>
      </c>
      <c r="D1" s="27" t="s">
        <v>155</v>
      </c>
      <c r="E1" s="27" t="s">
        <v>156</v>
      </c>
      <c r="F1" s="27" t="s">
        <v>157</v>
      </c>
      <c r="G1" s="27" t="s">
        <v>158</v>
      </c>
      <c r="H1" s="27" t="s">
        <v>159</v>
      </c>
      <c r="I1" s="26" t="s">
        <v>160</v>
      </c>
      <c r="J1" s="27" t="s">
        <v>161</v>
      </c>
      <c r="K1" s="27" t="s">
        <v>162</v>
      </c>
      <c r="L1" s="27" t="s">
        <v>163</v>
      </c>
      <c r="M1" s="27" t="s">
        <v>164</v>
      </c>
      <c r="N1" s="27" t="s">
        <v>165</v>
      </c>
      <c r="O1" s="27" t="s">
        <v>166</v>
      </c>
      <c r="P1" s="27" t="s">
        <v>167</v>
      </c>
      <c r="Q1" s="27" t="s">
        <v>168</v>
      </c>
      <c r="R1" s="27" t="s">
        <v>169</v>
      </c>
      <c r="S1" s="27" t="s">
        <v>170</v>
      </c>
      <c r="T1" s="27" t="s">
        <v>171</v>
      </c>
      <c r="U1" s="27" t="s">
        <v>172</v>
      </c>
      <c r="V1" s="27" t="s">
        <v>173</v>
      </c>
      <c r="W1" s="27" t="s">
        <v>174</v>
      </c>
      <c r="X1" s="27" t="s">
        <v>175</v>
      </c>
      <c r="Y1" s="27" t="s">
        <v>176</v>
      </c>
      <c r="Z1" s="27" t="s">
        <v>177</v>
      </c>
      <c r="AA1" s="27" t="s">
        <v>178</v>
      </c>
      <c r="AB1" s="27" t="s">
        <v>179</v>
      </c>
      <c r="AC1" s="27" t="s">
        <v>180</v>
      </c>
      <c r="AD1" s="27" t="s">
        <v>181</v>
      </c>
    </row>
    <row r="2" spans="1:30">
      <c r="A2" s="26" t="s">
        <v>153</v>
      </c>
      <c r="B2" s="27">
        <v>100</v>
      </c>
      <c r="C2" s="27">
        <v>91.22</v>
      </c>
      <c r="D2" s="27">
        <v>90.49</v>
      </c>
      <c r="E2" s="27">
        <v>89.54</v>
      </c>
      <c r="F2" s="27">
        <v>89.36</v>
      </c>
      <c r="G2" s="27">
        <v>89.08</v>
      </c>
      <c r="H2" s="27">
        <v>89.02</v>
      </c>
      <c r="I2" s="27">
        <v>88.75</v>
      </c>
      <c r="J2" s="27">
        <v>86.17</v>
      </c>
      <c r="K2" s="27">
        <v>82.25</v>
      </c>
      <c r="L2" s="27">
        <v>71.82</v>
      </c>
      <c r="M2" s="27">
        <v>71.71</v>
      </c>
      <c r="N2" s="27">
        <v>71.25</v>
      </c>
      <c r="O2" s="27">
        <v>71.2</v>
      </c>
      <c r="P2" s="27">
        <v>71.02</v>
      </c>
      <c r="Q2" s="27">
        <v>64.22</v>
      </c>
      <c r="R2" s="27">
        <v>62.97</v>
      </c>
      <c r="S2" s="27">
        <v>62.99</v>
      </c>
      <c r="T2" s="27">
        <v>62.97</v>
      </c>
      <c r="U2" s="27">
        <v>62.92</v>
      </c>
      <c r="V2" s="27">
        <v>62.91</v>
      </c>
      <c r="W2" s="27">
        <v>62.91</v>
      </c>
      <c r="X2" s="27">
        <v>62.9</v>
      </c>
      <c r="Y2" s="27">
        <v>62.87</v>
      </c>
      <c r="Z2" s="27">
        <v>62.83</v>
      </c>
      <c r="AA2" s="27">
        <v>62.78</v>
      </c>
      <c r="AB2" s="27">
        <v>62.62</v>
      </c>
      <c r="AC2" s="27">
        <v>62.08</v>
      </c>
      <c r="AD2" s="27">
        <v>62.05</v>
      </c>
    </row>
    <row r="3" spans="1:30">
      <c r="A3" s="27" t="s">
        <v>154</v>
      </c>
      <c r="B3" s="27">
        <v>91.22</v>
      </c>
      <c r="C3" s="27">
        <v>100</v>
      </c>
      <c r="D3" s="27">
        <v>91.89</v>
      </c>
      <c r="E3" s="27">
        <v>88.89</v>
      </c>
      <c r="F3" s="27">
        <v>90.93</v>
      </c>
      <c r="G3" s="27">
        <v>87.93</v>
      </c>
      <c r="H3" s="27">
        <v>88.22</v>
      </c>
      <c r="I3" s="27">
        <v>87.88</v>
      </c>
      <c r="J3" s="27">
        <v>85.92</v>
      </c>
      <c r="K3" s="27">
        <v>80.59</v>
      </c>
      <c r="L3" s="27">
        <v>71.7</v>
      </c>
      <c r="M3" s="27">
        <v>71.5</v>
      </c>
      <c r="N3" s="27">
        <v>70.98</v>
      </c>
      <c r="O3" s="27">
        <v>70.63</v>
      </c>
      <c r="P3" s="27">
        <v>71</v>
      </c>
      <c r="Q3" s="27">
        <v>64.41</v>
      </c>
      <c r="R3" s="27">
        <v>63.24</v>
      </c>
      <c r="S3" s="27">
        <v>63.03</v>
      </c>
      <c r="T3" s="27">
        <v>62.97</v>
      </c>
      <c r="U3" s="27">
        <v>62.87</v>
      </c>
      <c r="V3" s="27">
        <v>62.92</v>
      </c>
      <c r="W3" s="27">
        <v>63.04</v>
      </c>
      <c r="X3" s="27">
        <v>63.02</v>
      </c>
      <c r="Y3" s="27">
        <v>62.89</v>
      </c>
      <c r="Z3" s="27">
        <v>62.96</v>
      </c>
      <c r="AA3" s="27">
        <v>62.78</v>
      </c>
      <c r="AB3" s="27">
        <v>62.75</v>
      </c>
      <c r="AC3" s="27">
        <v>61.99</v>
      </c>
      <c r="AD3" s="27">
        <v>62.07</v>
      </c>
    </row>
    <row r="4" spans="1:30">
      <c r="A4" s="27" t="s">
        <v>155</v>
      </c>
      <c r="B4" s="27">
        <v>90.49</v>
      </c>
      <c r="C4" s="27">
        <v>91.89</v>
      </c>
      <c r="D4" s="27">
        <v>100</v>
      </c>
      <c r="E4" s="27">
        <v>88.52</v>
      </c>
      <c r="F4" s="27">
        <v>99.16</v>
      </c>
      <c r="G4" s="27">
        <v>87.5</v>
      </c>
      <c r="H4" s="27">
        <v>87.71</v>
      </c>
      <c r="I4" s="27">
        <v>87.3</v>
      </c>
      <c r="J4" s="27">
        <v>85.2</v>
      </c>
      <c r="K4" s="27">
        <v>80.47</v>
      </c>
      <c r="L4" s="27">
        <v>71.94</v>
      </c>
      <c r="M4" s="27">
        <v>72.03</v>
      </c>
      <c r="N4" s="27">
        <v>72.18</v>
      </c>
      <c r="O4" s="27">
        <v>72.47</v>
      </c>
      <c r="P4" s="27">
        <v>71.7</v>
      </c>
      <c r="Q4" s="27">
        <v>64</v>
      </c>
      <c r="R4" s="27">
        <v>63.09</v>
      </c>
      <c r="S4" s="27">
        <v>63.01</v>
      </c>
      <c r="T4" s="27">
        <v>63.07</v>
      </c>
      <c r="U4" s="27">
        <v>62.79</v>
      </c>
      <c r="V4" s="27">
        <v>62.79</v>
      </c>
      <c r="W4" s="27">
        <v>63.05</v>
      </c>
      <c r="X4" s="27">
        <v>63.05</v>
      </c>
      <c r="Y4" s="27">
        <v>62.91</v>
      </c>
      <c r="Z4" s="27">
        <v>62.92</v>
      </c>
      <c r="AA4" s="27">
        <v>62.84</v>
      </c>
      <c r="AB4" s="27">
        <v>62.7</v>
      </c>
      <c r="AC4" s="27">
        <v>61.97</v>
      </c>
      <c r="AD4" s="27">
        <v>62.08</v>
      </c>
    </row>
    <row r="5" spans="1:30">
      <c r="A5" s="27" t="s">
        <v>156</v>
      </c>
      <c r="B5" s="27">
        <v>89.54</v>
      </c>
      <c r="C5" s="27">
        <v>88.89</v>
      </c>
      <c r="D5" s="27">
        <v>88.52</v>
      </c>
      <c r="E5" s="27">
        <v>100</v>
      </c>
      <c r="F5" s="27">
        <v>87.97</v>
      </c>
      <c r="G5" s="27">
        <v>87.92</v>
      </c>
      <c r="H5" s="27">
        <v>88.05</v>
      </c>
      <c r="I5" s="27">
        <v>87.04</v>
      </c>
      <c r="J5" s="27">
        <v>85.06</v>
      </c>
      <c r="K5" s="27">
        <v>80.7</v>
      </c>
      <c r="L5" s="27">
        <v>71.25</v>
      </c>
      <c r="M5" s="27">
        <v>71.28</v>
      </c>
      <c r="N5" s="27">
        <v>70.89</v>
      </c>
      <c r="O5" s="27">
        <v>72.39</v>
      </c>
      <c r="P5" s="27">
        <v>70.67</v>
      </c>
      <c r="Q5" s="27">
        <v>63.93</v>
      </c>
      <c r="R5" s="27">
        <v>62.47</v>
      </c>
      <c r="S5" s="27">
        <v>62.47</v>
      </c>
      <c r="T5" s="27">
        <v>62.36</v>
      </c>
      <c r="U5" s="27">
        <v>62.52</v>
      </c>
      <c r="V5" s="27">
        <v>62.23</v>
      </c>
      <c r="W5" s="27">
        <v>62.37</v>
      </c>
      <c r="X5" s="27">
        <v>62.35</v>
      </c>
      <c r="Y5" s="27">
        <v>62.19</v>
      </c>
      <c r="Z5" s="27">
        <v>62.27</v>
      </c>
      <c r="AA5" s="27">
        <v>62</v>
      </c>
      <c r="AB5" s="27">
        <v>62.4</v>
      </c>
      <c r="AC5" s="27">
        <v>61.28</v>
      </c>
      <c r="AD5" s="27">
        <v>61.53</v>
      </c>
    </row>
    <row r="6" spans="1:30">
      <c r="A6" s="27" t="s">
        <v>157</v>
      </c>
      <c r="B6" s="27">
        <v>89.36</v>
      </c>
      <c r="C6" s="27">
        <v>90.93</v>
      </c>
      <c r="D6" s="27">
        <v>99.16</v>
      </c>
      <c r="E6" s="27">
        <v>87.97</v>
      </c>
      <c r="F6" s="27">
        <v>100</v>
      </c>
      <c r="G6" s="27">
        <v>86.73</v>
      </c>
      <c r="H6" s="27">
        <v>86.64</v>
      </c>
      <c r="I6" s="27">
        <v>86.2</v>
      </c>
      <c r="J6" s="27">
        <v>84.51</v>
      </c>
      <c r="K6" s="27">
        <v>80.02</v>
      </c>
      <c r="L6" s="27">
        <v>71.02</v>
      </c>
      <c r="M6" s="27">
        <v>71.25</v>
      </c>
      <c r="N6" s="27">
        <v>70.82</v>
      </c>
      <c r="O6" s="27">
        <v>70.29</v>
      </c>
      <c r="P6" s="27">
        <v>70.65</v>
      </c>
      <c r="Q6" s="27">
        <v>64.23</v>
      </c>
      <c r="R6" s="27">
        <v>63.04</v>
      </c>
      <c r="S6" s="27">
        <v>62.51</v>
      </c>
      <c r="T6" s="27">
        <v>62.28</v>
      </c>
      <c r="U6" s="27">
        <v>62.36</v>
      </c>
      <c r="V6" s="27">
        <v>62.24</v>
      </c>
      <c r="W6" s="27">
        <v>62.19</v>
      </c>
      <c r="X6" s="27">
        <v>62.58</v>
      </c>
      <c r="Y6" s="27">
        <v>62.04</v>
      </c>
      <c r="Z6" s="27">
        <v>62.05</v>
      </c>
      <c r="AA6" s="27">
        <v>62.43</v>
      </c>
      <c r="AB6" s="27">
        <v>61.95</v>
      </c>
      <c r="AC6" s="27">
        <v>61.75</v>
      </c>
      <c r="AD6" s="27">
        <v>61.35</v>
      </c>
    </row>
    <row r="7" spans="1:30">
      <c r="A7" s="27" t="s">
        <v>158</v>
      </c>
      <c r="B7" s="27">
        <v>89.08</v>
      </c>
      <c r="C7" s="27">
        <v>87.93</v>
      </c>
      <c r="D7" s="27">
        <v>87.5</v>
      </c>
      <c r="E7" s="27">
        <v>87.92</v>
      </c>
      <c r="F7" s="27">
        <v>86.73</v>
      </c>
      <c r="G7" s="27">
        <v>100</v>
      </c>
      <c r="H7" s="27">
        <v>92.43</v>
      </c>
      <c r="I7" s="27">
        <v>92.22</v>
      </c>
      <c r="J7" s="27">
        <v>86.06</v>
      </c>
      <c r="K7" s="27">
        <v>81.12</v>
      </c>
      <c r="L7" s="27">
        <v>71.6</v>
      </c>
      <c r="M7" s="27">
        <v>71.36</v>
      </c>
      <c r="N7" s="27">
        <v>70.92</v>
      </c>
      <c r="O7" s="27">
        <v>70.83</v>
      </c>
      <c r="P7" s="27">
        <v>70.93</v>
      </c>
      <c r="Q7" s="27">
        <v>64.26</v>
      </c>
      <c r="R7" s="27">
        <v>63.12</v>
      </c>
      <c r="S7" s="27">
        <v>62.94</v>
      </c>
      <c r="T7" s="27">
        <v>63.02</v>
      </c>
      <c r="U7" s="27">
        <v>62.8</v>
      </c>
      <c r="V7" s="27">
        <v>62.73</v>
      </c>
      <c r="W7" s="27">
        <v>63.03</v>
      </c>
      <c r="X7" s="27">
        <v>62.9</v>
      </c>
      <c r="Y7" s="27">
        <v>62.89</v>
      </c>
      <c r="Z7" s="27">
        <v>62.91</v>
      </c>
      <c r="AA7" s="27">
        <v>62.62</v>
      </c>
      <c r="AB7" s="27">
        <v>62.62</v>
      </c>
      <c r="AC7" s="27">
        <v>62.08</v>
      </c>
      <c r="AD7" s="27">
        <v>62.05</v>
      </c>
    </row>
    <row r="8" spans="1:30">
      <c r="A8" s="27" t="s">
        <v>159</v>
      </c>
      <c r="B8" s="27">
        <v>89.02</v>
      </c>
      <c r="C8" s="27">
        <v>88.22</v>
      </c>
      <c r="D8" s="27">
        <v>87.71</v>
      </c>
      <c r="E8" s="27">
        <v>88.05</v>
      </c>
      <c r="F8" s="27">
        <v>86.64</v>
      </c>
      <c r="G8" s="27">
        <v>92.43</v>
      </c>
      <c r="H8" s="27">
        <v>100</v>
      </c>
      <c r="I8" s="27">
        <v>92.66</v>
      </c>
      <c r="J8" s="27">
        <v>86.29</v>
      </c>
      <c r="K8" s="27">
        <v>81.67</v>
      </c>
      <c r="L8" s="27">
        <v>71.79</v>
      </c>
      <c r="M8" s="27">
        <v>71.8</v>
      </c>
      <c r="N8" s="27">
        <v>71.46</v>
      </c>
      <c r="O8" s="27">
        <v>70.89</v>
      </c>
      <c r="P8" s="27">
        <v>71.38</v>
      </c>
      <c r="Q8" s="27">
        <v>64.73</v>
      </c>
      <c r="R8" s="27">
        <v>63.21</v>
      </c>
      <c r="S8" s="27">
        <v>63.05</v>
      </c>
      <c r="T8" s="27">
        <v>63.22</v>
      </c>
      <c r="U8" s="27">
        <v>62.77</v>
      </c>
      <c r="V8" s="27">
        <v>62.68</v>
      </c>
      <c r="W8" s="27">
        <v>63.12</v>
      </c>
      <c r="X8" s="27">
        <v>62.94</v>
      </c>
      <c r="Y8" s="27">
        <v>63.06</v>
      </c>
      <c r="Z8" s="27">
        <v>63.1</v>
      </c>
      <c r="AA8" s="27">
        <v>62.48</v>
      </c>
      <c r="AB8" s="27">
        <v>62.77</v>
      </c>
      <c r="AC8" s="27">
        <v>61.93</v>
      </c>
      <c r="AD8" s="27">
        <v>62.11</v>
      </c>
    </row>
    <row r="9" spans="1:30">
      <c r="A9" s="26" t="s">
        <v>160</v>
      </c>
      <c r="B9" s="27">
        <v>88.75</v>
      </c>
      <c r="C9" s="27">
        <v>87.88</v>
      </c>
      <c r="D9" s="27">
        <v>87.3</v>
      </c>
      <c r="E9" s="27">
        <v>87.04</v>
      </c>
      <c r="F9" s="27">
        <v>86.2</v>
      </c>
      <c r="G9" s="27">
        <v>92.22</v>
      </c>
      <c r="H9" s="27">
        <v>92.66</v>
      </c>
      <c r="I9" s="27">
        <v>100</v>
      </c>
      <c r="J9" s="27">
        <v>85.64</v>
      </c>
      <c r="K9" s="27">
        <v>80.84</v>
      </c>
      <c r="L9" s="27">
        <v>70.98</v>
      </c>
      <c r="M9" s="27">
        <v>70.88</v>
      </c>
      <c r="N9" s="27">
        <v>70.67</v>
      </c>
      <c r="O9" s="27">
        <v>70.18</v>
      </c>
      <c r="P9" s="27">
        <v>70.36</v>
      </c>
      <c r="Q9" s="27">
        <v>64.17</v>
      </c>
      <c r="R9" s="27">
        <v>62.44</v>
      </c>
      <c r="S9" s="27">
        <v>62.21</v>
      </c>
      <c r="T9" s="27">
        <v>62.47</v>
      </c>
      <c r="U9" s="27">
        <v>62.26</v>
      </c>
      <c r="V9" s="27">
        <v>62.11</v>
      </c>
      <c r="W9" s="27">
        <v>62.45</v>
      </c>
      <c r="X9" s="27">
        <v>62.51</v>
      </c>
      <c r="Y9" s="27">
        <v>62.62</v>
      </c>
      <c r="Z9" s="27">
        <v>62.22</v>
      </c>
      <c r="AA9" s="27">
        <v>61.99</v>
      </c>
      <c r="AB9" s="27">
        <v>62.01</v>
      </c>
      <c r="AC9" s="27">
        <v>61.41</v>
      </c>
      <c r="AD9" s="27">
        <v>61.76</v>
      </c>
    </row>
    <row r="10" spans="1:30">
      <c r="A10" s="27" t="s">
        <v>161</v>
      </c>
      <c r="B10" s="27">
        <v>86.17</v>
      </c>
      <c r="C10" s="27">
        <v>85.92</v>
      </c>
      <c r="D10" s="27">
        <v>85.2</v>
      </c>
      <c r="E10" s="27">
        <v>85.06</v>
      </c>
      <c r="F10" s="27">
        <v>84.51</v>
      </c>
      <c r="G10" s="27">
        <v>86.06</v>
      </c>
      <c r="H10" s="27">
        <v>86.29</v>
      </c>
      <c r="I10" s="27">
        <v>85.64</v>
      </c>
      <c r="J10" s="27">
        <v>100</v>
      </c>
      <c r="K10" s="27">
        <v>80.64</v>
      </c>
      <c r="L10" s="27">
        <v>71.73</v>
      </c>
      <c r="M10" s="27">
        <v>71.65</v>
      </c>
      <c r="N10" s="27">
        <v>71.07</v>
      </c>
      <c r="O10" s="27">
        <v>70.57</v>
      </c>
      <c r="P10" s="27">
        <v>70.91</v>
      </c>
      <c r="Q10" s="27">
        <v>64.61</v>
      </c>
      <c r="R10" s="27">
        <v>62.92</v>
      </c>
      <c r="S10" s="27">
        <v>62.63</v>
      </c>
      <c r="T10" s="27">
        <v>62.67</v>
      </c>
      <c r="U10" s="27">
        <v>62.46</v>
      </c>
      <c r="V10" s="27">
        <v>62.36</v>
      </c>
      <c r="W10" s="27">
        <v>62.7</v>
      </c>
      <c r="X10" s="27">
        <v>62.68</v>
      </c>
      <c r="Y10" s="27">
        <v>62.54</v>
      </c>
      <c r="Z10" s="27">
        <v>62.53</v>
      </c>
      <c r="AA10" s="27">
        <v>62.52</v>
      </c>
      <c r="AB10" s="27">
        <v>62.35</v>
      </c>
      <c r="AC10" s="27">
        <v>61.66</v>
      </c>
      <c r="AD10" s="27">
        <v>61.98</v>
      </c>
    </row>
    <row r="11" spans="1:30">
      <c r="A11" s="27" t="s">
        <v>162</v>
      </c>
      <c r="B11" s="27">
        <v>82.25</v>
      </c>
      <c r="C11" s="27">
        <v>80.59</v>
      </c>
      <c r="D11" s="27">
        <v>80.47</v>
      </c>
      <c r="E11" s="27">
        <v>80.7</v>
      </c>
      <c r="F11" s="27">
        <v>80.02</v>
      </c>
      <c r="G11" s="27">
        <v>81.12</v>
      </c>
      <c r="H11" s="27">
        <v>81.67</v>
      </c>
      <c r="I11" s="27">
        <v>80.84</v>
      </c>
      <c r="J11" s="27">
        <v>80.64</v>
      </c>
      <c r="K11" s="27">
        <v>100</v>
      </c>
      <c r="L11" s="27">
        <v>72.21</v>
      </c>
      <c r="M11" s="27">
        <v>72.2</v>
      </c>
      <c r="N11" s="27">
        <v>71.67</v>
      </c>
      <c r="O11" s="27">
        <v>71.05</v>
      </c>
      <c r="P11" s="27">
        <v>71.6</v>
      </c>
      <c r="Q11" s="27">
        <v>64.26</v>
      </c>
      <c r="R11" s="27">
        <v>63.48</v>
      </c>
      <c r="S11" s="27">
        <v>62.88</v>
      </c>
      <c r="T11" s="27">
        <v>62.95</v>
      </c>
      <c r="U11" s="27">
        <v>62.74</v>
      </c>
      <c r="V11" s="27">
        <v>62.54</v>
      </c>
      <c r="W11" s="27">
        <v>62.94</v>
      </c>
      <c r="X11" s="27">
        <v>62.99</v>
      </c>
      <c r="Y11" s="27">
        <v>62.88</v>
      </c>
      <c r="Z11" s="27">
        <v>62.84</v>
      </c>
      <c r="AA11" s="27">
        <v>62.85</v>
      </c>
      <c r="AB11" s="27">
        <v>62.64</v>
      </c>
      <c r="AC11" s="27">
        <v>62.12</v>
      </c>
      <c r="AD11" s="27">
        <v>62.1</v>
      </c>
    </row>
    <row r="12" spans="1:30">
      <c r="A12" s="27" t="s">
        <v>163</v>
      </c>
      <c r="B12" s="27">
        <v>71.82</v>
      </c>
      <c r="C12" s="27">
        <v>71.7</v>
      </c>
      <c r="D12" s="27">
        <v>71.94</v>
      </c>
      <c r="E12" s="27">
        <v>71.25</v>
      </c>
      <c r="F12" s="27">
        <v>71.02</v>
      </c>
      <c r="G12" s="27">
        <v>71.6</v>
      </c>
      <c r="H12" s="27">
        <v>71.79</v>
      </c>
      <c r="I12" s="27">
        <v>70.98</v>
      </c>
      <c r="J12" s="27">
        <v>71.73</v>
      </c>
      <c r="K12" s="27">
        <v>72.21</v>
      </c>
      <c r="L12" s="27">
        <v>100</v>
      </c>
      <c r="M12" s="27">
        <v>98.67</v>
      </c>
      <c r="N12" s="27">
        <v>98.86</v>
      </c>
      <c r="O12" s="27">
        <v>98.54</v>
      </c>
      <c r="P12" s="27">
        <v>99</v>
      </c>
      <c r="Q12" s="27">
        <v>64.77</v>
      </c>
      <c r="R12" s="27">
        <v>63.33</v>
      </c>
      <c r="S12" s="27">
        <v>63.37</v>
      </c>
      <c r="T12" s="27">
        <v>63.27</v>
      </c>
      <c r="U12" s="27">
        <v>63.19</v>
      </c>
      <c r="V12" s="27">
        <v>63.2</v>
      </c>
      <c r="W12" s="27">
        <v>63.31</v>
      </c>
      <c r="X12" s="27">
        <v>63.21</v>
      </c>
      <c r="Y12" s="27">
        <v>63.13</v>
      </c>
      <c r="Z12" s="27">
        <v>63.19</v>
      </c>
      <c r="AA12" s="27">
        <v>63.02</v>
      </c>
      <c r="AB12" s="27">
        <v>63.05</v>
      </c>
      <c r="AC12" s="27">
        <v>62.05</v>
      </c>
      <c r="AD12" s="27">
        <v>62.11</v>
      </c>
    </row>
    <row r="13" spans="1:30">
      <c r="A13" s="27" t="s">
        <v>164</v>
      </c>
      <c r="B13" s="27">
        <v>71.71</v>
      </c>
      <c r="C13" s="27">
        <v>71.5</v>
      </c>
      <c r="D13" s="27">
        <v>72.03</v>
      </c>
      <c r="E13" s="27">
        <v>71.28</v>
      </c>
      <c r="F13" s="27">
        <v>71.25</v>
      </c>
      <c r="G13" s="27">
        <v>71.36</v>
      </c>
      <c r="H13" s="27">
        <v>71.8</v>
      </c>
      <c r="I13" s="27">
        <v>70.88</v>
      </c>
      <c r="J13" s="27">
        <v>71.65</v>
      </c>
      <c r="K13" s="27">
        <v>72.2</v>
      </c>
      <c r="L13" s="27">
        <v>98.67</v>
      </c>
      <c r="M13" s="27">
        <v>100</v>
      </c>
      <c r="N13" s="27">
        <v>98.85</v>
      </c>
      <c r="O13" s="27">
        <v>98.05</v>
      </c>
      <c r="P13" s="27">
        <v>98.83</v>
      </c>
      <c r="Q13" s="27">
        <v>64.58</v>
      </c>
      <c r="R13" s="27">
        <v>63.19</v>
      </c>
      <c r="S13" s="27">
        <v>63.36</v>
      </c>
      <c r="T13" s="27">
        <v>63.25</v>
      </c>
      <c r="U13" s="27">
        <v>63.03</v>
      </c>
      <c r="V13" s="27">
        <v>63.07</v>
      </c>
      <c r="W13" s="27">
        <v>63.36</v>
      </c>
      <c r="X13" s="27">
        <v>63.33</v>
      </c>
      <c r="Y13" s="27">
        <v>63.45</v>
      </c>
      <c r="Z13" s="27">
        <v>63.29</v>
      </c>
      <c r="AA13" s="27">
        <v>63.16</v>
      </c>
      <c r="AB13" s="27">
        <v>63.21</v>
      </c>
      <c r="AC13" s="27">
        <v>61.94</v>
      </c>
      <c r="AD13" s="27">
        <v>62.3</v>
      </c>
    </row>
    <row r="14" spans="1:30">
      <c r="A14" s="27" t="s">
        <v>165</v>
      </c>
      <c r="B14" s="27">
        <v>71.25</v>
      </c>
      <c r="C14" s="27">
        <v>70.98</v>
      </c>
      <c r="D14" s="27">
        <v>72.18</v>
      </c>
      <c r="E14" s="27">
        <v>70.89</v>
      </c>
      <c r="F14" s="27">
        <v>70.82</v>
      </c>
      <c r="G14" s="27">
        <v>70.92</v>
      </c>
      <c r="H14" s="27">
        <v>71.46</v>
      </c>
      <c r="I14" s="27">
        <v>70.67</v>
      </c>
      <c r="J14" s="27">
        <v>71.07</v>
      </c>
      <c r="K14" s="27">
        <v>71.67</v>
      </c>
      <c r="L14" s="27">
        <v>98.86</v>
      </c>
      <c r="M14" s="27">
        <v>98.85</v>
      </c>
      <c r="N14" s="27">
        <v>100</v>
      </c>
      <c r="O14" s="27">
        <v>98.02</v>
      </c>
      <c r="P14" s="27">
        <v>99.37</v>
      </c>
      <c r="Q14" s="27">
        <v>64.02</v>
      </c>
      <c r="R14" s="27">
        <v>63.04</v>
      </c>
      <c r="S14" s="27">
        <v>63.09</v>
      </c>
      <c r="T14" s="27">
        <v>63.02</v>
      </c>
      <c r="U14" s="27">
        <v>62.86</v>
      </c>
      <c r="V14" s="27">
        <v>62.84</v>
      </c>
      <c r="W14" s="27">
        <v>63.01</v>
      </c>
      <c r="X14" s="27">
        <v>63.03</v>
      </c>
      <c r="Y14" s="27">
        <v>62.9</v>
      </c>
      <c r="Z14" s="27">
        <v>62.91</v>
      </c>
      <c r="AA14" s="27">
        <v>62.8</v>
      </c>
      <c r="AB14" s="27">
        <v>62.78</v>
      </c>
      <c r="AC14" s="27">
        <v>61.91</v>
      </c>
      <c r="AD14" s="27">
        <v>62.13</v>
      </c>
    </row>
    <row r="15" spans="1:30">
      <c r="A15" s="27" t="s">
        <v>166</v>
      </c>
      <c r="B15" s="27">
        <v>71.2</v>
      </c>
      <c r="C15" s="27">
        <v>70.63</v>
      </c>
      <c r="D15" s="27">
        <v>72.47</v>
      </c>
      <c r="E15" s="27">
        <v>72.39</v>
      </c>
      <c r="F15" s="27">
        <v>70.29</v>
      </c>
      <c r="G15" s="27">
        <v>70.83</v>
      </c>
      <c r="H15" s="27">
        <v>70.89</v>
      </c>
      <c r="I15" s="27">
        <v>70.18</v>
      </c>
      <c r="J15" s="27">
        <v>70.57</v>
      </c>
      <c r="K15" s="27">
        <v>71.05</v>
      </c>
      <c r="L15" s="27">
        <v>98.54</v>
      </c>
      <c r="M15" s="27">
        <v>98.05</v>
      </c>
      <c r="N15" s="27">
        <v>98.02</v>
      </c>
      <c r="O15" s="27">
        <v>100</v>
      </c>
      <c r="P15" s="27">
        <v>98.12</v>
      </c>
      <c r="Q15" s="27">
        <v>63.97</v>
      </c>
      <c r="R15" s="27">
        <v>62.69</v>
      </c>
      <c r="S15" s="27">
        <v>62.44</v>
      </c>
      <c r="T15" s="27">
        <v>62.01</v>
      </c>
      <c r="U15" s="27">
        <v>62.41</v>
      </c>
      <c r="V15" s="27">
        <v>62.04</v>
      </c>
      <c r="W15" s="27">
        <v>62.19</v>
      </c>
      <c r="X15" s="27">
        <v>62.56</v>
      </c>
      <c r="Y15" s="27">
        <v>62.18</v>
      </c>
      <c r="Z15" s="27">
        <v>62.03</v>
      </c>
      <c r="AA15" s="27">
        <v>62.56</v>
      </c>
      <c r="AB15" s="27">
        <v>62.5</v>
      </c>
      <c r="AC15" s="27">
        <v>61.61</v>
      </c>
      <c r="AD15" s="27">
        <v>61.76</v>
      </c>
    </row>
    <row r="16" spans="1:30">
      <c r="A16" s="27" t="s">
        <v>167</v>
      </c>
      <c r="B16" s="27">
        <v>71.02</v>
      </c>
      <c r="C16" s="27">
        <v>71</v>
      </c>
      <c r="D16" s="27">
        <v>71.7</v>
      </c>
      <c r="E16" s="27">
        <v>70.67</v>
      </c>
      <c r="F16" s="27">
        <v>70.65</v>
      </c>
      <c r="G16" s="27">
        <v>70.93</v>
      </c>
      <c r="H16" s="27">
        <v>71.38</v>
      </c>
      <c r="I16" s="27">
        <v>70.36</v>
      </c>
      <c r="J16" s="27">
        <v>70.91</v>
      </c>
      <c r="K16" s="27">
        <v>71.6</v>
      </c>
      <c r="L16" s="27">
        <v>99</v>
      </c>
      <c r="M16" s="27">
        <v>98.83</v>
      </c>
      <c r="N16" s="27">
        <v>99.37</v>
      </c>
      <c r="O16" s="27">
        <v>98.12</v>
      </c>
      <c r="P16" s="27">
        <v>100</v>
      </c>
      <c r="Q16" s="27">
        <v>63.67</v>
      </c>
      <c r="R16" s="27">
        <v>62.74</v>
      </c>
      <c r="S16" s="27">
        <v>62.76</v>
      </c>
      <c r="T16" s="27">
        <v>62.67</v>
      </c>
      <c r="U16" s="27">
        <v>62.47</v>
      </c>
      <c r="V16" s="27">
        <v>62.47</v>
      </c>
      <c r="W16" s="27">
        <v>62.61</v>
      </c>
      <c r="X16" s="27">
        <v>62.44</v>
      </c>
      <c r="Y16" s="27">
        <v>62.43</v>
      </c>
      <c r="Z16" s="27">
        <v>62.53</v>
      </c>
      <c r="AA16" s="27">
        <v>62.22</v>
      </c>
      <c r="AB16" s="27">
        <v>62.41</v>
      </c>
      <c r="AC16" s="27">
        <v>61.56</v>
      </c>
      <c r="AD16" s="27">
        <v>61.59</v>
      </c>
    </row>
    <row r="17" spans="1:30">
      <c r="A17" s="27" t="s">
        <v>168</v>
      </c>
      <c r="B17" s="27">
        <v>64.22</v>
      </c>
      <c r="C17" s="27">
        <v>64.41</v>
      </c>
      <c r="D17" s="27">
        <v>64</v>
      </c>
      <c r="E17" s="27">
        <v>63.93</v>
      </c>
      <c r="F17" s="27">
        <v>64.23</v>
      </c>
      <c r="G17" s="27">
        <v>64.26</v>
      </c>
      <c r="H17" s="27">
        <v>64.73</v>
      </c>
      <c r="I17" s="27">
        <v>64.17</v>
      </c>
      <c r="J17" s="27">
        <v>64.61</v>
      </c>
      <c r="K17" s="27">
        <v>64.26</v>
      </c>
      <c r="L17" s="27">
        <v>64.77</v>
      </c>
      <c r="M17" s="27">
        <v>64.58</v>
      </c>
      <c r="N17" s="27">
        <v>64.02</v>
      </c>
      <c r="O17" s="27">
        <v>63.97</v>
      </c>
      <c r="P17" s="27">
        <v>63.67</v>
      </c>
      <c r="Q17" s="27">
        <v>100</v>
      </c>
      <c r="R17" s="27">
        <v>64.71</v>
      </c>
      <c r="S17" s="27">
        <v>63.9</v>
      </c>
      <c r="T17" s="27">
        <v>63.81</v>
      </c>
      <c r="U17" s="27">
        <v>63.79</v>
      </c>
      <c r="V17" s="27">
        <v>63.69</v>
      </c>
      <c r="W17" s="27">
        <v>63.86</v>
      </c>
      <c r="X17" s="27">
        <v>63.84</v>
      </c>
      <c r="Y17" s="27">
        <v>63.8</v>
      </c>
      <c r="Z17" s="27">
        <v>63.78</v>
      </c>
      <c r="AA17" s="27">
        <v>63.66</v>
      </c>
      <c r="AB17" s="27">
        <v>63.7</v>
      </c>
      <c r="AC17" s="27">
        <v>62.56</v>
      </c>
      <c r="AD17" s="27">
        <v>62.98</v>
      </c>
    </row>
    <row r="18" spans="1:30">
      <c r="A18" s="27" t="s">
        <v>169</v>
      </c>
      <c r="B18" s="27">
        <v>62.97</v>
      </c>
      <c r="C18" s="27">
        <v>63.24</v>
      </c>
      <c r="D18" s="27">
        <v>63.09</v>
      </c>
      <c r="E18" s="27">
        <v>62.47</v>
      </c>
      <c r="F18" s="27">
        <v>63.04</v>
      </c>
      <c r="G18" s="27">
        <v>63.12</v>
      </c>
      <c r="H18" s="27">
        <v>63.21</v>
      </c>
      <c r="I18" s="27">
        <v>62.44</v>
      </c>
      <c r="J18" s="27">
        <v>62.92</v>
      </c>
      <c r="K18" s="27">
        <v>63.48</v>
      </c>
      <c r="L18" s="27">
        <v>63.33</v>
      </c>
      <c r="M18" s="27">
        <v>63.19</v>
      </c>
      <c r="N18" s="27">
        <v>63.04</v>
      </c>
      <c r="O18" s="27">
        <v>62.69</v>
      </c>
      <c r="P18" s="27">
        <v>62.74</v>
      </c>
      <c r="Q18" s="27">
        <v>64.71</v>
      </c>
      <c r="R18" s="27">
        <v>100</v>
      </c>
      <c r="S18" s="27">
        <v>65.93</v>
      </c>
      <c r="T18" s="27">
        <v>65.86</v>
      </c>
      <c r="U18" s="27">
        <v>65.98</v>
      </c>
      <c r="V18" s="27">
        <v>65.76</v>
      </c>
      <c r="W18" s="27">
        <v>65.79</v>
      </c>
      <c r="X18" s="27">
        <v>65.8</v>
      </c>
      <c r="Y18" s="27">
        <v>65.62</v>
      </c>
      <c r="Z18" s="27">
        <v>65.6</v>
      </c>
      <c r="AA18" s="27">
        <v>65.78</v>
      </c>
      <c r="AB18" s="27">
        <v>65.79</v>
      </c>
      <c r="AC18" s="27">
        <v>64.35</v>
      </c>
      <c r="AD18" s="27">
        <v>64.95</v>
      </c>
    </row>
    <row r="19" spans="1:30">
      <c r="A19" s="27" t="s">
        <v>170</v>
      </c>
      <c r="B19" s="27">
        <v>62.99</v>
      </c>
      <c r="C19" s="27">
        <v>63.03</v>
      </c>
      <c r="D19" s="27">
        <v>63.01</v>
      </c>
      <c r="E19" s="27">
        <v>62.47</v>
      </c>
      <c r="F19" s="27">
        <v>62.51</v>
      </c>
      <c r="G19" s="27">
        <v>62.94</v>
      </c>
      <c r="H19" s="27">
        <v>63.05</v>
      </c>
      <c r="I19" s="27">
        <v>62.21</v>
      </c>
      <c r="J19" s="27">
        <v>62.63</v>
      </c>
      <c r="K19" s="27">
        <v>62.88</v>
      </c>
      <c r="L19" s="27">
        <v>63.37</v>
      </c>
      <c r="M19" s="27">
        <v>63.36</v>
      </c>
      <c r="N19" s="27">
        <v>63.09</v>
      </c>
      <c r="O19" s="27">
        <v>62.44</v>
      </c>
      <c r="P19" s="27">
        <v>62.76</v>
      </c>
      <c r="Q19" s="27">
        <v>63.9</v>
      </c>
      <c r="R19" s="27">
        <v>65.93</v>
      </c>
      <c r="S19" s="27">
        <v>100</v>
      </c>
      <c r="T19" s="27">
        <v>90.58</v>
      </c>
      <c r="U19" s="27">
        <v>86.88</v>
      </c>
      <c r="V19" s="27">
        <v>86.05</v>
      </c>
      <c r="W19" s="27">
        <v>90.75</v>
      </c>
      <c r="X19" s="27">
        <v>90.1</v>
      </c>
      <c r="Y19" s="27">
        <v>90.58</v>
      </c>
      <c r="Z19" s="27">
        <v>90.73</v>
      </c>
      <c r="AA19" s="27">
        <v>89.9</v>
      </c>
      <c r="AB19" s="27">
        <v>86.92</v>
      </c>
      <c r="AC19" s="27">
        <v>73.28</v>
      </c>
      <c r="AD19" s="27">
        <v>74.04</v>
      </c>
    </row>
    <row r="20" spans="1:30">
      <c r="A20" s="27" t="s">
        <v>171</v>
      </c>
      <c r="B20" s="27">
        <v>62.97</v>
      </c>
      <c r="C20" s="27">
        <v>62.97</v>
      </c>
      <c r="D20" s="27">
        <v>63.07</v>
      </c>
      <c r="E20" s="27">
        <v>62.36</v>
      </c>
      <c r="F20" s="27">
        <v>62.28</v>
      </c>
      <c r="G20" s="27">
        <v>63.02</v>
      </c>
      <c r="H20" s="27">
        <v>63.22</v>
      </c>
      <c r="I20" s="27">
        <v>62.47</v>
      </c>
      <c r="J20" s="27">
        <v>62.67</v>
      </c>
      <c r="K20" s="27">
        <v>62.95</v>
      </c>
      <c r="L20" s="27">
        <v>63.27</v>
      </c>
      <c r="M20" s="27">
        <v>63.25</v>
      </c>
      <c r="N20" s="27">
        <v>63.02</v>
      </c>
      <c r="O20" s="27">
        <v>62.01</v>
      </c>
      <c r="P20" s="27">
        <v>62.67</v>
      </c>
      <c r="Q20" s="27">
        <v>63.81</v>
      </c>
      <c r="R20" s="27">
        <v>65.86</v>
      </c>
      <c r="S20" s="27">
        <v>90.58</v>
      </c>
      <c r="T20" s="27">
        <v>100</v>
      </c>
      <c r="U20" s="27">
        <v>85.94</v>
      </c>
      <c r="V20" s="27">
        <v>85.04</v>
      </c>
      <c r="W20" s="27">
        <v>99.05</v>
      </c>
      <c r="X20" s="27">
        <v>89.84</v>
      </c>
      <c r="Y20" s="27">
        <v>99.31</v>
      </c>
      <c r="Z20" s="27">
        <v>99.33</v>
      </c>
      <c r="AA20" s="27">
        <v>89.45</v>
      </c>
      <c r="AB20" s="27">
        <v>85.48</v>
      </c>
      <c r="AC20" s="27">
        <v>72.88</v>
      </c>
      <c r="AD20" s="27">
        <v>74.24</v>
      </c>
    </row>
    <row r="21" spans="1:30">
      <c r="A21" s="27" t="s">
        <v>172</v>
      </c>
      <c r="B21" s="27">
        <v>62.92</v>
      </c>
      <c r="C21" s="27">
        <v>62.87</v>
      </c>
      <c r="D21" s="27">
        <v>62.79</v>
      </c>
      <c r="E21" s="27">
        <v>62.52</v>
      </c>
      <c r="F21" s="27">
        <v>62.36</v>
      </c>
      <c r="G21" s="27">
        <v>62.8</v>
      </c>
      <c r="H21" s="27">
        <v>62.77</v>
      </c>
      <c r="I21" s="27">
        <v>62.26</v>
      </c>
      <c r="J21" s="27">
        <v>62.46</v>
      </c>
      <c r="K21" s="27">
        <v>62.74</v>
      </c>
      <c r="L21" s="27">
        <v>63.19</v>
      </c>
      <c r="M21" s="27">
        <v>63.03</v>
      </c>
      <c r="N21" s="27">
        <v>62.86</v>
      </c>
      <c r="O21" s="27">
        <v>62.41</v>
      </c>
      <c r="P21" s="27">
        <v>62.47</v>
      </c>
      <c r="Q21" s="27">
        <v>63.79</v>
      </c>
      <c r="R21" s="27">
        <v>65.98</v>
      </c>
      <c r="S21" s="27">
        <v>86.88</v>
      </c>
      <c r="T21" s="27">
        <v>85.94</v>
      </c>
      <c r="U21" s="27">
        <v>100</v>
      </c>
      <c r="V21" s="27">
        <v>89.11</v>
      </c>
      <c r="W21" s="27">
        <v>85.97</v>
      </c>
      <c r="X21" s="27">
        <v>86.86</v>
      </c>
      <c r="Y21" s="27">
        <v>85.98</v>
      </c>
      <c r="Z21" s="27">
        <v>85.96</v>
      </c>
      <c r="AA21" s="27">
        <v>86.45</v>
      </c>
      <c r="AB21" s="27">
        <v>88.56</v>
      </c>
      <c r="AC21" s="27">
        <v>73.52</v>
      </c>
      <c r="AD21" s="27">
        <v>74.94</v>
      </c>
    </row>
    <row r="22" spans="1:30">
      <c r="A22" s="27" t="s">
        <v>173</v>
      </c>
      <c r="B22" s="27">
        <v>62.91</v>
      </c>
      <c r="C22" s="27">
        <v>62.92</v>
      </c>
      <c r="D22" s="27">
        <v>62.79</v>
      </c>
      <c r="E22" s="27">
        <v>62.23</v>
      </c>
      <c r="F22" s="27">
        <v>62.24</v>
      </c>
      <c r="G22" s="27">
        <v>62.73</v>
      </c>
      <c r="H22" s="27">
        <v>62.68</v>
      </c>
      <c r="I22" s="27">
        <v>62.11</v>
      </c>
      <c r="J22" s="27">
        <v>62.36</v>
      </c>
      <c r="K22" s="27">
        <v>62.54</v>
      </c>
      <c r="L22" s="27">
        <v>63.2</v>
      </c>
      <c r="M22" s="27">
        <v>63.07</v>
      </c>
      <c r="N22" s="27">
        <v>62.84</v>
      </c>
      <c r="O22" s="27">
        <v>62.04</v>
      </c>
      <c r="P22" s="27">
        <v>62.47</v>
      </c>
      <c r="Q22" s="27">
        <v>63.69</v>
      </c>
      <c r="R22" s="27">
        <v>65.76</v>
      </c>
      <c r="S22" s="27">
        <v>86.05</v>
      </c>
      <c r="T22" s="27">
        <v>85.04</v>
      </c>
      <c r="U22" s="27">
        <v>89.11</v>
      </c>
      <c r="V22" s="27">
        <v>100</v>
      </c>
      <c r="W22" s="27">
        <v>85.06</v>
      </c>
      <c r="X22" s="27">
        <v>86.37</v>
      </c>
      <c r="Y22" s="27">
        <v>84.93</v>
      </c>
      <c r="Z22" s="27">
        <v>84.93</v>
      </c>
      <c r="AA22" s="27">
        <v>86.07</v>
      </c>
      <c r="AB22" s="27">
        <v>87.63</v>
      </c>
      <c r="AC22" s="27">
        <v>72.99</v>
      </c>
      <c r="AD22" s="27">
        <v>74.22</v>
      </c>
    </row>
    <row r="23" spans="1:30">
      <c r="A23" s="27" t="s">
        <v>174</v>
      </c>
      <c r="B23" s="27">
        <v>62.91</v>
      </c>
      <c r="C23" s="27">
        <v>63.04</v>
      </c>
      <c r="D23" s="27">
        <v>63.05</v>
      </c>
      <c r="E23" s="27">
        <v>62.37</v>
      </c>
      <c r="F23" s="27">
        <v>62.19</v>
      </c>
      <c r="G23" s="27">
        <v>63.03</v>
      </c>
      <c r="H23" s="27">
        <v>63.12</v>
      </c>
      <c r="I23" s="27">
        <v>62.45</v>
      </c>
      <c r="J23" s="27">
        <v>62.7</v>
      </c>
      <c r="K23" s="27">
        <v>62.94</v>
      </c>
      <c r="L23" s="27">
        <v>63.31</v>
      </c>
      <c r="M23" s="27">
        <v>63.36</v>
      </c>
      <c r="N23" s="27">
        <v>63.01</v>
      </c>
      <c r="O23" s="27">
        <v>62.19</v>
      </c>
      <c r="P23" s="27">
        <v>62.61</v>
      </c>
      <c r="Q23" s="27">
        <v>63.86</v>
      </c>
      <c r="R23" s="27">
        <v>65.79</v>
      </c>
      <c r="S23" s="27">
        <v>90.75</v>
      </c>
      <c r="T23" s="27">
        <v>99.05</v>
      </c>
      <c r="U23" s="27">
        <v>85.97</v>
      </c>
      <c r="V23" s="27">
        <v>85.06</v>
      </c>
      <c r="W23" s="27">
        <v>100</v>
      </c>
      <c r="X23" s="27">
        <v>89.88</v>
      </c>
      <c r="Y23" s="27">
        <v>99.11</v>
      </c>
      <c r="Z23" s="27">
        <v>99.14</v>
      </c>
      <c r="AA23" s="27">
        <v>89.53</v>
      </c>
      <c r="AB23" s="27">
        <v>85.58</v>
      </c>
      <c r="AC23" s="27">
        <v>72.93</v>
      </c>
      <c r="AD23" s="27">
        <v>74.22</v>
      </c>
    </row>
    <row r="24" spans="1:30">
      <c r="A24" s="27" t="s">
        <v>175</v>
      </c>
      <c r="B24" s="27">
        <v>62.9</v>
      </c>
      <c r="C24" s="27">
        <v>63.02</v>
      </c>
      <c r="D24" s="27">
        <v>63.05</v>
      </c>
      <c r="E24" s="27">
        <v>62.35</v>
      </c>
      <c r="F24" s="27">
        <v>62.58</v>
      </c>
      <c r="G24" s="27">
        <v>62.9</v>
      </c>
      <c r="H24" s="27">
        <v>62.94</v>
      </c>
      <c r="I24" s="27">
        <v>62.51</v>
      </c>
      <c r="J24" s="27">
        <v>62.68</v>
      </c>
      <c r="K24" s="27">
        <v>62.99</v>
      </c>
      <c r="L24" s="27">
        <v>63.21</v>
      </c>
      <c r="M24" s="27">
        <v>63.33</v>
      </c>
      <c r="N24" s="27">
        <v>63.03</v>
      </c>
      <c r="O24" s="27">
        <v>62.56</v>
      </c>
      <c r="P24" s="27">
        <v>62.44</v>
      </c>
      <c r="Q24" s="27">
        <v>63.84</v>
      </c>
      <c r="R24" s="27">
        <v>65.8</v>
      </c>
      <c r="S24" s="27">
        <v>90.1</v>
      </c>
      <c r="T24" s="27">
        <v>89.84</v>
      </c>
      <c r="U24" s="27">
        <v>86.86</v>
      </c>
      <c r="V24" s="27">
        <v>86.37</v>
      </c>
      <c r="W24" s="27">
        <v>89.88</v>
      </c>
      <c r="X24" s="27">
        <v>100</v>
      </c>
      <c r="Y24" s="27">
        <v>90.01</v>
      </c>
      <c r="Z24" s="27">
        <v>89.85</v>
      </c>
      <c r="AA24" s="27">
        <v>98.01</v>
      </c>
      <c r="AB24" s="27">
        <v>86.81</v>
      </c>
      <c r="AC24" s="27">
        <v>73.08</v>
      </c>
      <c r="AD24" s="27">
        <v>74.48</v>
      </c>
    </row>
    <row r="25" spans="1:30">
      <c r="A25" s="27" t="s">
        <v>176</v>
      </c>
      <c r="B25" s="27">
        <v>62.87</v>
      </c>
      <c r="C25" s="27">
        <v>62.89</v>
      </c>
      <c r="D25" s="27">
        <v>62.91</v>
      </c>
      <c r="E25" s="27">
        <v>62.19</v>
      </c>
      <c r="F25" s="27">
        <v>62.04</v>
      </c>
      <c r="G25" s="27">
        <v>62.89</v>
      </c>
      <c r="H25" s="27">
        <v>63.06</v>
      </c>
      <c r="I25" s="27">
        <v>62.62</v>
      </c>
      <c r="J25" s="27">
        <v>62.54</v>
      </c>
      <c r="K25" s="27">
        <v>62.88</v>
      </c>
      <c r="L25" s="27">
        <v>63.13</v>
      </c>
      <c r="M25" s="27">
        <v>63.45</v>
      </c>
      <c r="N25" s="27">
        <v>62.9</v>
      </c>
      <c r="O25" s="27">
        <v>62.18</v>
      </c>
      <c r="P25" s="27">
        <v>62.43</v>
      </c>
      <c r="Q25" s="27">
        <v>63.8</v>
      </c>
      <c r="R25" s="27">
        <v>65.62</v>
      </c>
      <c r="S25" s="27">
        <v>90.58</v>
      </c>
      <c r="T25" s="27">
        <v>99.31</v>
      </c>
      <c r="U25" s="27">
        <v>85.98</v>
      </c>
      <c r="V25" s="27">
        <v>84.93</v>
      </c>
      <c r="W25" s="27">
        <v>99.11</v>
      </c>
      <c r="X25" s="27">
        <v>90.01</v>
      </c>
      <c r="Y25" s="27">
        <v>100</v>
      </c>
      <c r="Z25" s="27">
        <v>99.79</v>
      </c>
      <c r="AA25" s="27">
        <v>89.77</v>
      </c>
      <c r="AB25" s="27">
        <v>85.53</v>
      </c>
      <c r="AC25" s="27">
        <v>72.91</v>
      </c>
      <c r="AD25" s="27">
        <v>74.3</v>
      </c>
    </row>
    <row r="26" spans="1:30">
      <c r="A26" s="27" t="s">
        <v>177</v>
      </c>
      <c r="B26" s="27">
        <v>62.83</v>
      </c>
      <c r="C26" s="27">
        <v>62.96</v>
      </c>
      <c r="D26" s="27">
        <v>62.92</v>
      </c>
      <c r="E26" s="27">
        <v>62.27</v>
      </c>
      <c r="F26" s="27">
        <v>62.05</v>
      </c>
      <c r="G26" s="27">
        <v>62.91</v>
      </c>
      <c r="H26" s="27">
        <v>63.1</v>
      </c>
      <c r="I26" s="27">
        <v>62.22</v>
      </c>
      <c r="J26" s="27">
        <v>62.53</v>
      </c>
      <c r="K26" s="27">
        <v>62.84</v>
      </c>
      <c r="L26" s="27">
        <v>63.19</v>
      </c>
      <c r="M26" s="27">
        <v>63.29</v>
      </c>
      <c r="N26" s="27">
        <v>62.91</v>
      </c>
      <c r="O26" s="27">
        <v>62.03</v>
      </c>
      <c r="P26" s="27">
        <v>62.53</v>
      </c>
      <c r="Q26" s="27">
        <v>63.78</v>
      </c>
      <c r="R26" s="27">
        <v>65.6</v>
      </c>
      <c r="S26" s="27">
        <v>90.73</v>
      </c>
      <c r="T26" s="27">
        <v>99.33</v>
      </c>
      <c r="U26" s="27">
        <v>85.96</v>
      </c>
      <c r="V26" s="27">
        <v>84.93</v>
      </c>
      <c r="W26" s="27">
        <v>99.14</v>
      </c>
      <c r="X26" s="27">
        <v>89.85</v>
      </c>
      <c r="Y26" s="27">
        <v>99.79</v>
      </c>
      <c r="Z26" s="27">
        <v>100</v>
      </c>
      <c r="AA26" s="27">
        <v>89.48</v>
      </c>
      <c r="AB26" s="27">
        <v>85.44</v>
      </c>
      <c r="AC26" s="27">
        <v>72.93</v>
      </c>
      <c r="AD26" s="27">
        <v>74.1</v>
      </c>
    </row>
    <row r="27" spans="1:30">
      <c r="A27" s="27" t="s">
        <v>178</v>
      </c>
      <c r="B27" s="27">
        <v>62.78</v>
      </c>
      <c r="C27" s="27">
        <v>62.78</v>
      </c>
      <c r="D27" s="27">
        <v>62.84</v>
      </c>
      <c r="E27" s="27">
        <v>62</v>
      </c>
      <c r="F27" s="27">
        <v>62.43</v>
      </c>
      <c r="G27" s="27">
        <v>62.62</v>
      </c>
      <c r="H27" s="27">
        <v>62.48</v>
      </c>
      <c r="I27" s="27">
        <v>61.99</v>
      </c>
      <c r="J27" s="27">
        <v>62.52</v>
      </c>
      <c r="K27" s="27">
        <v>62.85</v>
      </c>
      <c r="L27" s="27">
        <v>63.02</v>
      </c>
      <c r="M27" s="27">
        <v>63.16</v>
      </c>
      <c r="N27" s="27">
        <v>62.8</v>
      </c>
      <c r="O27" s="27">
        <v>62.56</v>
      </c>
      <c r="P27" s="27">
        <v>62.22</v>
      </c>
      <c r="Q27" s="27">
        <v>63.66</v>
      </c>
      <c r="R27" s="27">
        <v>65.78</v>
      </c>
      <c r="S27" s="27">
        <v>89.9</v>
      </c>
      <c r="T27" s="27">
        <v>89.45</v>
      </c>
      <c r="U27" s="27">
        <v>86.45</v>
      </c>
      <c r="V27" s="27">
        <v>86.07</v>
      </c>
      <c r="W27" s="27">
        <v>89.53</v>
      </c>
      <c r="X27" s="27">
        <v>98.01</v>
      </c>
      <c r="Y27" s="27">
        <v>89.77</v>
      </c>
      <c r="Z27" s="27">
        <v>89.48</v>
      </c>
      <c r="AA27" s="27">
        <v>100</v>
      </c>
      <c r="AB27" s="27">
        <v>86.4</v>
      </c>
      <c r="AC27" s="27">
        <v>73</v>
      </c>
      <c r="AD27" s="27">
        <v>74.11</v>
      </c>
    </row>
    <row r="28" spans="1:30">
      <c r="A28" s="27" t="s">
        <v>179</v>
      </c>
      <c r="B28" s="27">
        <v>62.62</v>
      </c>
      <c r="C28" s="27">
        <v>62.75</v>
      </c>
      <c r="D28" s="27">
        <v>62.7</v>
      </c>
      <c r="E28" s="27">
        <v>62.4</v>
      </c>
      <c r="F28" s="27">
        <v>61.95</v>
      </c>
      <c r="G28" s="27">
        <v>62.62</v>
      </c>
      <c r="H28" s="27">
        <v>62.77</v>
      </c>
      <c r="I28" s="27">
        <v>62.01</v>
      </c>
      <c r="J28" s="27">
        <v>62.35</v>
      </c>
      <c r="K28" s="27">
        <v>62.64</v>
      </c>
      <c r="L28" s="27">
        <v>63.05</v>
      </c>
      <c r="M28" s="27">
        <v>63.21</v>
      </c>
      <c r="N28" s="27">
        <v>62.78</v>
      </c>
      <c r="O28" s="27">
        <v>62.5</v>
      </c>
      <c r="P28" s="27">
        <v>62.41</v>
      </c>
      <c r="Q28" s="27">
        <v>63.7</v>
      </c>
      <c r="R28" s="27">
        <v>65.79</v>
      </c>
      <c r="S28" s="27">
        <v>86.92</v>
      </c>
      <c r="T28" s="27">
        <v>85.48</v>
      </c>
      <c r="U28" s="27">
        <v>88.56</v>
      </c>
      <c r="V28" s="27">
        <v>87.63</v>
      </c>
      <c r="W28" s="27">
        <v>85.58</v>
      </c>
      <c r="X28" s="27">
        <v>86.81</v>
      </c>
      <c r="Y28" s="27">
        <v>85.53</v>
      </c>
      <c r="Z28" s="27">
        <v>85.44</v>
      </c>
      <c r="AA28" s="27">
        <v>86.4</v>
      </c>
      <c r="AB28" s="27">
        <v>100</v>
      </c>
      <c r="AC28" s="27">
        <v>73.59</v>
      </c>
      <c r="AD28" s="27">
        <v>74.52</v>
      </c>
    </row>
    <row r="29" spans="1:30">
      <c r="A29" s="27" t="s">
        <v>180</v>
      </c>
      <c r="B29" s="27">
        <v>62.08</v>
      </c>
      <c r="C29" s="27">
        <v>61.99</v>
      </c>
      <c r="D29" s="27">
        <v>61.97</v>
      </c>
      <c r="E29" s="27">
        <v>61.28</v>
      </c>
      <c r="F29" s="27">
        <v>61.75</v>
      </c>
      <c r="G29" s="27">
        <v>62.08</v>
      </c>
      <c r="H29" s="27">
        <v>61.93</v>
      </c>
      <c r="I29" s="27">
        <v>61.41</v>
      </c>
      <c r="J29" s="27">
        <v>61.66</v>
      </c>
      <c r="K29" s="27">
        <v>62.12</v>
      </c>
      <c r="L29" s="27">
        <v>62.05</v>
      </c>
      <c r="M29" s="27">
        <v>61.94</v>
      </c>
      <c r="N29" s="27">
        <v>61.91</v>
      </c>
      <c r="O29" s="27">
        <v>61.61</v>
      </c>
      <c r="P29" s="27">
        <v>61.56</v>
      </c>
      <c r="Q29" s="27">
        <v>62.56</v>
      </c>
      <c r="R29" s="27">
        <v>64.35</v>
      </c>
      <c r="S29" s="27">
        <v>73.28</v>
      </c>
      <c r="T29" s="27">
        <v>72.88</v>
      </c>
      <c r="U29" s="27">
        <v>73.52</v>
      </c>
      <c r="V29" s="27">
        <v>72.99</v>
      </c>
      <c r="W29" s="27">
        <v>72.93</v>
      </c>
      <c r="X29" s="27">
        <v>73.08</v>
      </c>
      <c r="Y29" s="27">
        <v>72.91</v>
      </c>
      <c r="Z29" s="27">
        <v>72.93</v>
      </c>
      <c r="AA29" s="27">
        <v>73</v>
      </c>
      <c r="AB29" s="27">
        <v>73.59</v>
      </c>
      <c r="AC29" s="27">
        <v>100</v>
      </c>
      <c r="AD29" s="27">
        <v>77.62</v>
      </c>
    </row>
    <row r="30" spans="1:30">
      <c r="A30" s="27" t="s">
        <v>181</v>
      </c>
      <c r="B30" s="27">
        <v>62.05</v>
      </c>
      <c r="C30" s="27">
        <v>62.07</v>
      </c>
      <c r="D30" s="27">
        <v>62.08</v>
      </c>
      <c r="E30" s="27">
        <v>61.53</v>
      </c>
      <c r="F30" s="27">
        <v>61.35</v>
      </c>
      <c r="G30" s="27">
        <v>62.05</v>
      </c>
      <c r="H30" s="27">
        <v>62.11</v>
      </c>
      <c r="I30" s="27">
        <v>61.76</v>
      </c>
      <c r="J30" s="27">
        <v>61.98</v>
      </c>
      <c r="K30" s="27">
        <v>62.1</v>
      </c>
      <c r="L30" s="27">
        <v>62.11</v>
      </c>
      <c r="M30" s="27">
        <v>62.3</v>
      </c>
      <c r="N30" s="27">
        <v>62.13</v>
      </c>
      <c r="O30" s="27">
        <v>61.76</v>
      </c>
      <c r="P30" s="27">
        <v>61.59</v>
      </c>
      <c r="Q30" s="27">
        <v>62.98</v>
      </c>
      <c r="R30" s="27">
        <v>64.95</v>
      </c>
      <c r="S30" s="27">
        <v>74.04</v>
      </c>
      <c r="T30" s="27">
        <v>74.24</v>
      </c>
      <c r="U30" s="27">
        <v>74.94</v>
      </c>
      <c r="V30" s="27">
        <v>74.22</v>
      </c>
      <c r="W30" s="27">
        <v>74.22</v>
      </c>
      <c r="X30" s="27">
        <v>74.48</v>
      </c>
      <c r="Y30" s="27">
        <v>74.3</v>
      </c>
      <c r="Z30" s="27">
        <v>74.1</v>
      </c>
      <c r="AA30" s="27">
        <v>74.11</v>
      </c>
      <c r="AB30" s="27">
        <v>74.52</v>
      </c>
      <c r="AC30" s="27">
        <v>77.62</v>
      </c>
      <c r="AD30" s="27">
        <v>100</v>
      </c>
    </row>
    <row r="34" spans="1:30">
      <c r="A34" s="25" t="s">
        <v>67</v>
      </c>
      <c r="B34" s="26" t="s">
        <v>153</v>
      </c>
      <c r="C34" s="24" t="s">
        <v>182</v>
      </c>
      <c r="D34" s="24" t="s">
        <v>155</v>
      </c>
      <c r="E34" s="24" t="s">
        <v>156</v>
      </c>
      <c r="F34" s="24" t="s">
        <v>157</v>
      </c>
      <c r="G34" s="24" t="s">
        <v>183</v>
      </c>
      <c r="H34" s="24" t="s">
        <v>159</v>
      </c>
      <c r="I34" s="26" t="s">
        <v>160</v>
      </c>
      <c r="J34" s="24" t="s">
        <v>161</v>
      </c>
      <c r="K34" s="24" t="s">
        <v>162</v>
      </c>
      <c r="L34" s="24" t="s">
        <v>163</v>
      </c>
      <c r="M34" s="24" t="s">
        <v>164</v>
      </c>
      <c r="N34" s="24" t="s">
        <v>165</v>
      </c>
      <c r="O34" s="24" t="s">
        <v>166</v>
      </c>
      <c r="P34" s="24" t="s">
        <v>167</v>
      </c>
      <c r="Q34" s="24" t="s">
        <v>168</v>
      </c>
      <c r="R34" s="24" t="s">
        <v>169</v>
      </c>
      <c r="S34" s="24" t="s">
        <v>170</v>
      </c>
      <c r="T34" s="24" t="s">
        <v>171</v>
      </c>
      <c r="U34" s="24" t="s">
        <v>172</v>
      </c>
      <c r="V34" s="24" t="s">
        <v>173</v>
      </c>
      <c r="W34" s="24" t="s">
        <v>174</v>
      </c>
      <c r="X34" s="24" t="s">
        <v>175</v>
      </c>
      <c r="Y34" s="24" t="s">
        <v>176</v>
      </c>
      <c r="Z34" s="24" t="s">
        <v>177</v>
      </c>
      <c r="AA34" s="24" t="s">
        <v>178</v>
      </c>
      <c r="AB34" s="24" t="s">
        <v>179</v>
      </c>
      <c r="AC34" s="24" t="s">
        <v>180</v>
      </c>
      <c r="AD34" s="24" t="s">
        <v>181</v>
      </c>
    </row>
    <row r="35" spans="1:30">
      <c r="A35" s="26" t="s">
        <v>153</v>
      </c>
      <c r="B35" s="24">
        <v>100</v>
      </c>
      <c r="C35" s="24">
        <v>90.7716977</v>
      </c>
      <c r="D35" s="24">
        <v>90.0324159</v>
      </c>
      <c r="E35" s="24">
        <v>88.9508819</v>
      </c>
      <c r="F35" s="24">
        <v>90.107007</v>
      </c>
      <c r="G35" s="24">
        <v>88.7892711</v>
      </c>
      <c r="H35" s="24">
        <v>89.3709209</v>
      </c>
      <c r="I35" s="24">
        <v>89.2074299</v>
      </c>
      <c r="J35" s="24">
        <v>86.8581273</v>
      </c>
      <c r="K35" s="24">
        <v>85.1924116</v>
      </c>
      <c r="L35" s="24">
        <v>83.6274139</v>
      </c>
      <c r="M35" s="24">
        <v>84.0376376</v>
      </c>
      <c r="N35" s="24">
        <v>83.5928107</v>
      </c>
      <c r="O35" s="24">
        <v>85.0435303</v>
      </c>
      <c r="P35" s="24">
        <v>83.2629356</v>
      </c>
      <c r="Q35" s="24">
        <v>89.5027199</v>
      </c>
      <c r="R35" s="24">
        <v>93.7162494</v>
      </c>
      <c r="S35" s="24">
        <v>91.4503817</v>
      </c>
      <c r="T35" s="24">
        <v>90.6900329</v>
      </c>
      <c r="U35" s="24">
        <v>95.0877193</v>
      </c>
      <c r="V35" s="24">
        <v>93.6487362</v>
      </c>
      <c r="W35" s="24">
        <v>90.6900329</v>
      </c>
      <c r="X35" s="24">
        <v>89.7133883</v>
      </c>
      <c r="Y35" s="24">
        <v>93.5012185</v>
      </c>
      <c r="Z35" s="24">
        <v>89.9401198</v>
      </c>
      <c r="AA35" s="24">
        <v>94.6531792</v>
      </c>
      <c r="AB35" s="24">
        <v>90.9090909</v>
      </c>
      <c r="AC35" s="24">
        <v>98.5324948</v>
      </c>
      <c r="AD35" s="24">
        <v>93.059126</v>
      </c>
    </row>
    <row r="36" spans="1:30">
      <c r="A36" s="24" t="s">
        <v>182</v>
      </c>
      <c r="B36" s="24">
        <v>90.7726336</v>
      </c>
      <c r="C36" s="24">
        <v>100</v>
      </c>
      <c r="D36" s="24">
        <v>90.6251062</v>
      </c>
      <c r="E36" s="24">
        <v>88.0083138</v>
      </c>
      <c r="F36" s="24">
        <v>90.5591065</v>
      </c>
      <c r="G36" s="24">
        <v>87.4279019</v>
      </c>
      <c r="H36" s="24">
        <v>87.8837501</v>
      </c>
      <c r="I36" s="24">
        <v>87.6315006</v>
      </c>
      <c r="J36" s="24">
        <v>86.7822134</v>
      </c>
      <c r="K36" s="24">
        <v>83.877591</v>
      </c>
      <c r="L36" s="24">
        <v>85.3711274</v>
      </c>
      <c r="M36" s="24">
        <v>85.8441646</v>
      </c>
      <c r="N36" s="24">
        <v>85.1475648</v>
      </c>
      <c r="O36" s="24">
        <v>86.3578824</v>
      </c>
      <c r="P36" s="24">
        <v>86.8756121</v>
      </c>
      <c r="Q36" s="24">
        <v>90.1620261</v>
      </c>
      <c r="R36" s="24">
        <v>88.876663</v>
      </c>
      <c r="S36" s="24">
        <v>90.755799</v>
      </c>
      <c r="T36" s="24">
        <v>92.7488464</v>
      </c>
      <c r="U36" s="24">
        <v>95.2432432</v>
      </c>
      <c r="V36" s="24">
        <v>90.9789388</v>
      </c>
      <c r="W36" s="24">
        <v>90.1058873</v>
      </c>
      <c r="X36" s="24">
        <v>89.2435365</v>
      </c>
      <c r="Y36" s="24">
        <v>89.4366197</v>
      </c>
      <c r="Z36" s="24">
        <v>89.1232696</v>
      </c>
      <c r="AA36" s="24">
        <v>89.218229</v>
      </c>
      <c r="AB36" s="24">
        <v>87.3167285</v>
      </c>
      <c r="AC36" s="24">
        <v>90.4807692</v>
      </c>
      <c r="AD36" s="24">
        <v>89.7293289</v>
      </c>
    </row>
    <row r="37" spans="1:30">
      <c r="A37" s="24" t="s">
        <v>155</v>
      </c>
      <c r="B37" s="24">
        <v>90.0340975</v>
      </c>
      <c r="C37" s="24">
        <v>90.6389162</v>
      </c>
      <c r="D37" s="24">
        <v>100</v>
      </c>
      <c r="E37" s="24">
        <v>87.7421777</v>
      </c>
      <c r="F37" s="24">
        <v>99.6816976</v>
      </c>
      <c r="G37" s="24">
        <v>87.0202557</v>
      </c>
      <c r="H37" s="24">
        <v>87.3587977</v>
      </c>
      <c r="I37" s="24">
        <v>87.200324</v>
      </c>
      <c r="J37" s="24">
        <v>86.414285</v>
      </c>
      <c r="K37" s="24">
        <v>84.2808405</v>
      </c>
      <c r="L37" s="24">
        <v>94.7310059</v>
      </c>
      <c r="M37" s="24">
        <v>95.9171702</v>
      </c>
      <c r="N37" s="24">
        <v>96.8639166</v>
      </c>
      <c r="O37" s="24">
        <v>97.3052285</v>
      </c>
      <c r="P37" s="24">
        <v>95.5976317</v>
      </c>
      <c r="Q37" s="24">
        <v>90.8958958</v>
      </c>
      <c r="R37" s="24">
        <v>88.9506602</v>
      </c>
      <c r="S37" s="24">
        <v>85.4687251</v>
      </c>
      <c r="T37" s="24">
        <v>86.2177166</v>
      </c>
      <c r="U37" s="24">
        <v>88.6089161</v>
      </c>
      <c r="V37" s="24">
        <v>86.8919912</v>
      </c>
      <c r="W37" s="24">
        <v>86.1106805</v>
      </c>
      <c r="X37" s="24">
        <v>88.9095646</v>
      </c>
      <c r="Y37" s="24">
        <v>83.3993743</v>
      </c>
      <c r="Z37" s="24">
        <v>84.8006361</v>
      </c>
      <c r="AA37" s="24">
        <v>85.6165206</v>
      </c>
      <c r="AB37" s="24">
        <v>86.3149018</v>
      </c>
      <c r="AC37" s="24">
        <v>94.1251596</v>
      </c>
      <c r="AD37" s="24">
        <v>87.8892073</v>
      </c>
    </row>
    <row r="38" spans="1:30">
      <c r="A38" s="24" t="s">
        <v>156</v>
      </c>
      <c r="B38" s="24">
        <v>88.9477806</v>
      </c>
      <c r="C38" s="24">
        <v>88.0110458</v>
      </c>
      <c r="D38" s="24">
        <v>87.7322669</v>
      </c>
      <c r="E38" s="24">
        <v>100</v>
      </c>
      <c r="F38" s="24">
        <v>88.0055593</v>
      </c>
      <c r="G38" s="24">
        <v>87.4120248</v>
      </c>
      <c r="H38" s="24">
        <v>87.8387455</v>
      </c>
      <c r="I38" s="24">
        <v>87.5363719</v>
      </c>
      <c r="J38" s="24">
        <v>86.1730269</v>
      </c>
      <c r="K38" s="24">
        <v>83.658265</v>
      </c>
      <c r="L38" s="24">
        <v>92.6752005</v>
      </c>
      <c r="M38" s="24">
        <v>90.7342723</v>
      </c>
      <c r="N38" s="24">
        <v>91.2062321</v>
      </c>
      <c r="O38" s="24">
        <v>96.6530142</v>
      </c>
      <c r="P38" s="24">
        <v>91.5451602</v>
      </c>
      <c r="Q38" s="24">
        <v>88.791112</v>
      </c>
      <c r="R38" s="24">
        <v>91.3307985</v>
      </c>
      <c r="S38" s="24">
        <v>96.9974979</v>
      </c>
      <c r="T38" s="24">
        <v>99.6805112</v>
      </c>
      <c r="U38" s="24">
        <v>89.2116183</v>
      </c>
      <c r="V38" s="24">
        <v>93.5587762</v>
      </c>
      <c r="W38" s="24">
        <v>99.6805112</v>
      </c>
      <c r="X38" s="24">
        <v>94.2404608</v>
      </c>
      <c r="Y38" s="24">
        <v>100</v>
      </c>
      <c r="Z38" s="24">
        <v>99.6805112</v>
      </c>
      <c r="AA38" s="24">
        <v>93.3603239</v>
      </c>
      <c r="AB38" s="24">
        <v>94.425864</v>
      </c>
      <c r="AC38" s="24">
        <v>98.4924623</v>
      </c>
      <c r="AD38" s="24">
        <v>93.3486239</v>
      </c>
    </row>
    <row r="39" spans="1:30">
      <c r="A39" s="24" t="s">
        <v>157</v>
      </c>
      <c r="B39" s="24">
        <v>90.0990192</v>
      </c>
      <c r="C39" s="24">
        <v>90.5591522</v>
      </c>
      <c r="D39" s="24">
        <v>99.6831789</v>
      </c>
      <c r="E39" s="24">
        <v>88.0029733</v>
      </c>
      <c r="F39" s="24">
        <v>100</v>
      </c>
      <c r="G39" s="24">
        <v>87.2341017</v>
      </c>
      <c r="H39" s="24">
        <v>87.5403828</v>
      </c>
      <c r="I39" s="24">
        <v>87.3587938</v>
      </c>
      <c r="J39" s="24">
        <v>86.5941635</v>
      </c>
      <c r="K39" s="24">
        <v>84.6642643</v>
      </c>
      <c r="L39" s="24">
        <v>84.221267</v>
      </c>
      <c r="M39" s="24">
        <v>89.6811442</v>
      </c>
      <c r="N39" s="24">
        <v>93.5053474</v>
      </c>
      <c r="O39" s="24">
        <v>91.0423279</v>
      </c>
      <c r="P39" s="24">
        <v>91.3770376</v>
      </c>
      <c r="Q39" s="24">
        <v>92.023255</v>
      </c>
      <c r="R39" s="24">
        <v>94.6858566</v>
      </c>
      <c r="S39" s="24">
        <v>87.7007175</v>
      </c>
      <c r="T39" s="24">
        <v>95.4150198</v>
      </c>
      <c r="U39" s="24">
        <v>89.055533</v>
      </c>
      <c r="V39" s="24">
        <v>85.4576081</v>
      </c>
      <c r="W39" s="24">
        <v>86.5841073</v>
      </c>
      <c r="X39" s="24">
        <v>87.7187401</v>
      </c>
      <c r="Y39" s="24">
        <v>84.2364532</v>
      </c>
      <c r="Z39" s="24">
        <v>85.5218855</v>
      </c>
      <c r="AA39" s="24">
        <v>83.5436648</v>
      </c>
      <c r="AB39" s="24">
        <v>87.7344877</v>
      </c>
      <c r="AC39" s="24">
        <v>99.047619</v>
      </c>
      <c r="AD39" s="24">
        <v>91.8478261</v>
      </c>
    </row>
    <row r="40" spans="1:30">
      <c r="A40" s="24" t="s">
        <v>183</v>
      </c>
      <c r="B40" s="24">
        <v>88.7903476</v>
      </c>
      <c r="C40" s="24">
        <v>87.4312999</v>
      </c>
      <c r="D40" s="24">
        <v>87.011686</v>
      </c>
      <c r="E40" s="24">
        <v>87.4139932</v>
      </c>
      <c r="F40" s="24">
        <v>87.2282334</v>
      </c>
      <c r="G40" s="24">
        <v>100</v>
      </c>
      <c r="H40" s="24">
        <v>92.3338105</v>
      </c>
      <c r="I40" s="24">
        <v>92.2247263</v>
      </c>
      <c r="J40" s="24">
        <v>86.6665008</v>
      </c>
      <c r="K40" s="24">
        <v>84.2930031</v>
      </c>
      <c r="L40" s="24">
        <v>85.2317743</v>
      </c>
      <c r="M40" s="24">
        <v>85.7632217</v>
      </c>
      <c r="N40" s="24">
        <v>84.5172465</v>
      </c>
      <c r="O40" s="24">
        <v>84.8147866</v>
      </c>
      <c r="P40" s="24">
        <v>84.6568262</v>
      </c>
      <c r="Q40" s="24">
        <v>86.68572</v>
      </c>
      <c r="R40" s="24">
        <v>88.2039378</v>
      </c>
      <c r="S40" s="24">
        <v>89.4496366</v>
      </c>
      <c r="T40" s="24">
        <v>92.9050815</v>
      </c>
      <c r="U40" s="24">
        <v>94.1494149</v>
      </c>
      <c r="V40" s="24">
        <v>89.6648649</v>
      </c>
      <c r="W40" s="24">
        <v>92.4313463</v>
      </c>
      <c r="X40" s="24">
        <v>88.1473572</v>
      </c>
      <c r="Y40" s="24">
        <v>97.4129353</v>
      </c>
      <c r="Z40" s="24">
        <v>91.7607223</v>
      </c>
      <c r="AA40" s="24">
        <v>89.4618834</v>
      </c>
      <c r="AB40" s="24">
        <v>84.6043936</v>
      </c>
      <c r="AC40" s="24">
        <v>91.5939218</v>
      </c>
      <c r="AD40" s="24">
        <v>92.195453</v>
      </c>
    </row>
    <row r="41" spans="1:30">
      <c r="A41" s="24" t="s">
        <v>159</v>
      </c>
      <c r="B41" s="24">
        <v>89.3814672</v>
      </c>
      <c r="C41" s="24">
        <v>87.8920186</v>
      </c>
      <c r="D41" s="24">
        <v>87.3572749</v>
      </c>
      <c r="E41" s="24">
        <v>87.8411843</v>
      </c>
      <c r="F41" s="24">
        <v>87.5422427</v>
      </c>
      <c r="G41" s="24">
        <v>92.3560464</v>
      </c>
      <c r="H41" s="24">
        <v>100</v>
      </c>
      <c r="I41" s="24">
        <v>94.0332413</v>
      </c>
      <c r="J41" s="24">
        <v>86.9767448</v>
      </c>
      <c r="K41" s="24">
        <v>84.541025</v>
      </c>
      <c r="L41" s="24">
        <v>84.7718686</v>
      </c>
      <c r="M41" s="24">
        <v>84.7471825</v>
      </c>
      <c r="N41" s="24">
        <v>84.2711319</v>
      </c>
      <c r="O41" s="24">
        <v>85.4405493</v>
      </c>
      <c r="P41" s="24">
        <v>85.386556</v>
      </c>
      <c r="Q41" s="24">
        <v>86.6606074</v>
      </c>
      <c r="R41" s="24">
        <v>89.8840885</v>
      </c>
      <c r="S41" s="24">
        <v>88.2667175</v>
      </c>
      <c r="T41" s="24">
        <v>91.4658635</v>
      </c>
      <c r="U41" s="24">
        <v>86.036036</v>
      </c>
      <c r="V41" s="24">
        <v>90.452201</v>
      </c>
      <c r="W41" s="24">
        <v>90.051207</v>
      </c>
      <c r="X41" s="24">
        <v>90.9879653</v>
      </c>
      <c r="Y41" s="24">
        <v>93.9957112</v>
      </c>
      <c r="Z41" s="24">
        <v>88.4105359</v>
      </c>
      <c r="AA41" s="24">
        <v>91.6548798</v>
      </c>
      <c r="AB41" s="24">
        <v>88.3909774</v>
      </c>
      <c r="AC41" s="24">
        <v>88.9135774</v>
      </c>
      <c r="AD41" s="24">
        <v>88.9105058</v>
      </c>
    </row>
    <row r="42" spans="1:30">
      <c r="A42" s="26" t="s">
        <v>160</v>
      </c>
      <c r="B42" s="24">
        <v>89.2006349</v>
      </c>
      <c r="C42" s="24">
        <v>87.6332403</v>
      </c>
      <c r="D42" s="24">
        <v>87.1973147</v>
      </c>
      <c r="E42" s="24">
        <v>87.5419601</v>
      </c>
      <c r="F42" s="24">
        <v>87.3552919</v>
      </c>
      <c r="G42" s="24">
        <v>92.2316865</v>
      </c>
      <c r="H42" s="24">
        <v>94.0263623</v>
      </c>
      <c r="I42" s="24">
        <v>100</v>
      </c>
      <c r="J42" s="24">
        <v>86.7690994</v>
      </c>
      <c r="K42" s="24">
        <v>84.427741</v>
      </c>
      <c r="L42" s="24">
        <v>85.4972168</v>
      </c>
      <c r="M42" s="24">
        <v>83.9104102</v>
      </c>
      <c r="N42" s="24">
        <v>84.0703402</v>
      </c>
      <c r="O42" s="24">
        <v>85.471214</v>
      </c>
      <c r="P42" s="24">
        <v>84.3960632</v>
      </c>
      <c r="Q42" s="24">
        <v>87.180004</v>
      </c>
      <c r="R42" s="24">
        <v>89.7705545</v>
      </c>
      <c r="S42" s="24">
        <v>90.3410641</v>
      </c>
      <c r="T42" s="24">
        <v>89.4124491</v>
      </c>
      <c r="U42" s="24">
        <v>94.4801027</v>
      </c>
      <c r="V42" s="24">
        <v>91.9976464</v>
      </c>
      <c r="W42" s="24">
        <v>90.4059041</v>
      </c>
      <c r="X42" s="24">
        <v>89.9724855</v>
      </c>
      <c r="Y42" s="24">
        <v>91.8149466</v>
      </c>
      <c r="Z42" s="24">
        <v>89.4124491</v>
      </c>
      <c r="AA42" s="24">
        <v>83.7016575</v>
      </c>
      <c r="AB42" s="24">
        <v>87.7641123</v>
      </c>
      <c r="AC42" s="24">
        <v>92.3352436</v>
      </c>
      <c r="AD42" s="24">
        <v>91.3580247</v>
      </c>
    </row>
    <row r="43" spans="1:30">
      <c r="A43" s="24" t="s">
        <v>161</v>
      </c>
      <c r="B43" s="24">
        <v>86.868262</v>
      </c>
      <c r="C43" s="24">
        <v>86.8013165</v>
      </c>
      <c r="D43" s="24">
        <v>86.4123332</v>
      </c>
      <c r="E43" s="24">
        <v>86.1834143</v>
      </c>
      <c r="F43" s="24">
        <v>86.5933274</v>
      </c>
      <c r="G43" s="24">
        <v>86.6761109</v>
      </c>
      <c r="H43" s="24">
        <v>86.981335</v>
      </c>
      <c r="I43" s="24">
        <v>86.7887663</v>
      </c>
      <c r="J43" s="24">
        <v>100</v>
      </c>
      <c r="K43" s="24">
        <v>84.3387693</v>
      </c>
      <c r="L43" s="24">
        <v>85.6185866</v>
      </c>
      <c r="M43" s="24">
        <v>86.5462253</v>
      </c>
      <c r="N43" s="24">
        <v>84.9074614</v>
      </c>
      <c r="O43" s="24">
        <v>87.6223902</v>
      </c>
      <c r="P43" s="24">
        <v>84.7558366</v>
      </c>
      <c r="Q43" s="24">
        <v>93.1349492</v>
      </c>
      <c r="R43" s="24">
        <v>89.822056</v>
      </c>
      <c r="S43" s="24">
        <v>87.2606775</v>
      </c>
      <c r="T43" s="24">
        <v>90.3877662</v>
      </c>
      <c r="U43" s="24">
        <v>88.7471868</v>
      </c>
      <c r="V43" s="24">
        <v>92</v>
      </c>
      <c r="W43" s="24">
        <v>87.278886</v>
      </c>
      <c r="X43" s="24">
        <v>90.6798246</v>
      </c>
      <c r="Y43" s="24">
        <v>92.2005571</v>
      </c>
      <c r="Z43" s="24">
        <v>88.5450955</v>
      </c>
      <c r="AA43" s="24">
        <v>86.884003</v>
      </c>
      <c r="AB43" s="24">
        <v>86.3393138</v>
      </c>
      <c r="AC43" s="24">
        <v>98.3572895</v>
      </c>
      <c r="AD43" s="24">
        <v>97.080292</v>
      </c>
    </row>
    <row r="44" spans="1:30">
      <c r="A44" s="24" t="s">
        <v>162</v>
      </c>
      <c r="B44" s="24">
        <v>85.1905617</v>
      </c>
      <c r="C44" s="24">
        <v>83.8724987</v>
      </c>
      <c r="D44" s="24">
        <v>84.2672995</v>
      </c>
      <c r="E44" s="24">
        <v>83.6497331</v>
      </c>
      <c r="F44" s="24">
        <v>84.6477897</v>
      </c>
      <c r="G44" s="24">
        <v>84.2881833</v>
      </c>
      <c r="H44" s="24">
        <v>84.527217</v>
      </c>
      <c r="I44" s="24">
        <v>84.4242644</v>
      </c>
      <c r="J44" s="24">
        <v>84.3163965</v>
      </c>
      <c r="K44" s="24">
        <v>100</v>
      </c>
      <c r="L44" s="24">
        <v>83.5919591</v>
      </c>
      <c r="M44" s="24">
        <v>84.6175412</v>
      </c>
      <c r="N44" s="24">
        <v>84.3607278</v>
      </c>
      <c r="O44" s="24">
        <v>85.7526235</v>
      </c>
      <c r="P44" s="24">
        <v>85.3002955</v>
      </c>
      <c r="Q44" s="24">
        <v>85.9311589</v>
      </c>
      <c r="R44" s="24">
        <v>88.6521786</v>
      </c>
      <c r="S44" s="24">
        <v>90.2667745</v>
      </c>
      <c r="T44" s="24">
        <v>90.2900378</v>
      </c>
      <c r="U44" s="24">
        <v>85.1393838</v>
      </c>
      <c r="V44" s="24">
        <v>88.1301851</v>
      </c>
      <c r="W44" s="24">
        <v>87.5671527</v>
      </c>
      <c r="X44" s="24">
        <v>89.8490202</v>
      </c>
      <c r="Y44" s="24">
        <v>86.252588</v>
      </c>
      <c r="Z44" s="24">
        <v>88.4566327</v>
      </c>
      <c r="AA44" s="24">
        <v>88.8067582</v>
      </c>
      <c r="AB44" s="24">
        <v>87.4226804</v>
      </c>
      <c r="AC44" s="24">
        <v>89.2843357</v>
      </c>
      <c r="AD44" s="24">
        <v>87.4913231</v>
      </c>
    </row>
    <row r="45" spans="1:30">
      <c r="A45" s="24" t="s">
        <v>163</v>
      </c>
      <c r="B45" s="24">
        <v>83.3749266</v>
      </c>
      <c r="C45" s="24">
        <v>85.2096994</v>
      </c>
      <c r="D45" s="24">
        <v>94.5009105</v>
      </c>
      <c r="E45" s="24">
        <v>92.6096654</v>
      </c>
      <c r="F45" s="24">
        <v>84.1223473</v>
      </c>
      <c r="G45" s="24">
        <v>85.1156532</v>
      </c>
      <c r="H45" s="24">
        <v>84.6618054</v>
      </c>
      <c r="I45" s="24">
        <v>85.3538097</v>
      </c>
      <c r="J45" s="24">
        <v>85.2719431</v>
      </c>
      <c r="K45" s="24">
        <v>83.759478</v>
      </c>
      <c r="L45" s="24">
        <v>100</v>
      </c>
      <c r="M45" s="24">
        <v>98.7228041</v>
      </c>
      <c r="N45" s="24">
        <v>98.8182541</v>
      </c>
      <c r="O45" s="24">
        <v>98.5868661</v>
      </c>
      <c r="P45" s="24">
        <v>99.0923053</v>
      </c>
      <c r="Q45" s="24">
        <v>87.8313942</v>
      </c>
      <c r="R45" s="24">
        <v>94.4397163</v>
      </c>
      <c r="S45" s="24">
        <v>88.9655172</v>
      </c>
      <c r="T45" s="24">
        <v>89.2957746</v>
      </c>
      <c r="U45" s="24">
        <v>89.3667457</v>
      </c>
      <c r="V45" s="24">
        <v>88.6385519</v>
      </c>
      <c r="W45" s="24">
        <v>90.6002792</v>
      </c>
      <c r="X45" s="24">
        <v>87.3064229</v>
      </c>
      <c r="Y45" s="24">
        <v>87.4902267</v>
      </c>
      <c r="Z45" s="24">
        <v>89.2957746</v>
      </c>
      <c r="AA45" s="24">
        <v>86.9415808</v>
      </c>
      <c r="AB45" s="24">
        <v>87.0301528</v>
      </c>
      <c r="AC45" s="24">
        <v>91.7213115</v>
      </c>
      <c r="AD45" s="24">
        <v>92.7287582</v>
      </c>
    </row>
    <row r="46" spans="1:30">
      <c r="A46" s="24" t="s">
        <v>164</v>
      </c>
      <c r="B46" s="24">
        <v>83.3589531</v>
      </c>
      <c r="C46" s="24">
        <v>85.5708192</v>
      </c>
      <c r="D46" s="24">
        <v>95.925534</v>
      </c>
      <c r="E46" s="24">
        <v>90.6617796</v>
      </c>
      <c r="F46" s="24">
        <v>89.5836598</v>
      </c>
      <c r="G46" s="24">
        <v>85.2097401</v>
      </c>
      <c r="H46" s="24">
        <v>84.2716778</v>
      </c>
      <c r="I46" s="24">
        <v>83.5211268</v>
      </c>
      <c r="J46" s="24">
        <v>85.0933126</v>
      </c>
      <c r="K46" s="24">
        <v>84.6464928</v>
      </c>
      <c r="L46" s="24">
        <v>98.6889074</v>
      </c>
      <c r="M46" s="24">
        <v>100</v>
      </c>
      <c r="N46" s="24">
        <v>99.0011513</v>
      </c>
      <c r="O46" s="24">
        <v>98.4259424</v>
      </c>
      <c r="P46" s="24">
        <v>99.1498492</v>
      </c>
      <c r="Q46" s="24">
        <v>88.3605394</v>
      </c>
      <c r="R46" s="24">
        <v>90.8181585</v>
      </c>
      <c r="S46" s="24">
        <v>87.7707495</v>
      </c>
      <c r="T46" s="24">
        <v>91.0540301</v>
      </c>
      <c r="U46" s="24">
        <v>88.6792453</v>
      </c>
      <c r="V46" s="24">
        <v>88.1535649</v>
      </c>
      <c r="W46" s="24">
        <v>91.0540301</v>
      </c>
      <c r="X46" s="24">
        <v>87.4974211</v>
      </c>
      <c r="Y46" s="24">
        <v>87.5148633</v>
      </c>
      <c r="Z46" s="24">
        <v>90.3901047</v>
      </c>
      <c r="AA46" s="24">
        <v>86.1967695</v>
      </c>
      <c r="AB46" s="24">
        <v>88.2621454</v>
      </c>
      <c r="AC46" s="24">
        <v>89.2493049</v>
      </c>
      <c r="AD46" s="24">
        <v>90.965603</v>
      </c>
    </row>
    <row r="47" spans="1:30">
      <c r="A47" s="24" t="s">
        <v>165</v>
      </c>
      <c r="B47" s="24">
        <v>83.4417577</v>
      </c>
      <c r="C47" s="24">
        <v>85.2608192</v>
      </c>
      <c r="D47" s="24">
        <v>96.8793057</v>
      </c>
      <c r="E47" s="24">
        <v>91.0979648</v>
      </c>
      <c r="F47" s="24">
        <v>93.5053474</v>
      </c>
      <c r="G47" s="24">
        <v>84.5172465</v>
      </c>
      <c r="H47" s="24">
        <v>84.3021511</v>
      </c>
      <c r="I47" s="24">
        <v>84.1206602</v>
      </c>
      <c r="J47" s="24">
        <v>84.6792196</v>
      </c>
      <c r="K47" s="24">
        <v>84.4058395</v>
      </c>
      <c r="L47" s="24">
        <v>98.6327851</v>
      </c>
      <c r="M47" s="24">
        <v>98.872581</v>
      </c>
      <c r="N47" s="24">
        <v>100</v>
      </c>
      <c r="O47" s="24">
        <v>98.2517748</v>
      </c>
      <c r="P47" s="24">
        <v>99.4362923</v>
      </c>
      <c r="Q47" s="24">
        <v>90.3981265</v>
      </c>
      <c r="R47" s="24">
        <v>88.8996326</v>
      </c>
      <c r="S47" s="24">
        <v>87.0367546</v>
      </c>
      <c r="T47" s="24">
        <v>88.018794</v>
      </c>
      <c r="U47" s="24">
        <v>88.5317997</v>
      </c>
      <c r="V47" s="24">
        <v>89.4718433</v>
      </c>
      <c r="W47" s="24">
        <v>88.2099491</v>
      </c>
      <c r="X47" s="24">
        <v>87.9802027</v>
      </c>
      <c r="Y47" s="24">
        <v>88.2478632</v>
      </c>
      <c r="Z47" s="24">
        <v>87.641357</v>
      </c>
      <c r="AA47" s="24">
        <v>85.9015438</v>
      </c>
      <c r="AB47" s="24">
        <v>87.598896</v>
      </c>
      <c r="AC47" s="24">
        <v>87.3296501</v>
      </c>
      <c r="AD47" s="24">
        <v>88.21129</v>
      </c>
    </row>
    <row r="48" spans="1:30">
      <c r="A48" s="24" t="s">
        <v>166</v>
      </c>
      <c r="B48" s="24">
        <v>84.7434734</v>
      </c>
      <c r="C48" s="24">
        <v>86.3923303</v>
      </c>
      <c r="D48" s="24">
        <v>97.2964192</v>
      </c>
      <c r="E48" s="24">
        <v>96.864274</v>
      </c>
      <c r="F48" s="24">
        <v>91.0009059</v>
      </c>
      <c r="G48" s="24">
        <v>85.0109043</v>
      </c>
      <c r="H48" s="24">
        <v>85.4034576</v>
      </c>
      <c r="I48" s="24">
        <v>85.6363989</v>
      </c>
      <c r="J48" s="24">
        <v>87.5076186</v>
      </c>
      <c r="K48" s="24">
        <v>85.7140147</v>
      </c>
      <c r="L48" s="24">
        <v>98.5990468</v>
      </c>
      <c r="M48" s="24">
        <v>98.500623</v>
      </c>
      <c r="N48" s="24">
        <v>98.458078</v>
      </c>
      <c r="O48" s="24">
        <v>100</v>
      </c>
      <c r="P48" s="24">
        <v>98.7755248</v>
      </c>
      <c r="Q48" s="24">
        <v>87.5591124</v>
      </c>
      <c r="R48" s="24">
        <v>89.8838516</v>
      </c>
      <c r="S48" s="24">
        <v>85.0318201</v>
      </c>
      <c r="T48" s="24">
        <v>84.084397</v>
      </c>
      <c r="U48" s="24">
        <v>85.6100796</v>
      </c>
      <c r="V48" s="24">
        <v>85.7918186</v>
      </c>
      <c r="W48" s="24">
        <v>84.8819245</v>
      </c>
      <c r="X48" s="24">
        <v>87.6630555</v>
      </c>
      <c r="Y48" s="24">
        <v>86.9699306</v>
      </c>
      <c r="Z48" s="24">
        <v>83.9259721</v>
      </c>
      <c r="AA48" s="24">
        <v>84.9648192</v>
      </c>
      <c r="AB48" s="24">
        <v>84.8403232</v>
      </c>
      <c r="AC48" s="24">
        <v>87.1167161</v>
      </c>
      <c r="AD48" s="24">
        <v>87.9007239</v>
      </c>
    </row>
    <row r="49" spans="1:30">
      <c r="A49" s="24" t="s">
        <v>167</v>
      </c>
      <c r="B49" s="24">
        <v>83.2629356</v>
      </c>
      <c r="C49" s="24">
        <v>86.8756121</v>
      </c>
      <c r="D49" s="24">
        <v>95.5900302</v>
      </c>
      <c r="E49" s="24">
        <v>91.5723176</v>
      </c>
      <c r="F49" s="24">
        <v>91.3770376</v>
      </c>
      <c r="G49" s="24">
        <v>84.6568262</v>
      </c>
      <c r="H49" s="24">
        <v>85.386556</v>
      </c>
      <c r="I49" s="24">
        <v>84.3960632</v>
      </c>
      <c r="J49" s="24">
        <v>84.5633456</v>
      </c>
      <c r="K49" s="24">
        <v>85.3002955</v>
      </c>
      <c r="L49" s="24">
        <v>98.8952994</v>
      </c>
      <c r="M49" s="24">
        <v>99.0407967</v>
      </c>
      <c r="N49" s="24">
        <v>99.4383511</v>
      </c>
      <c r="O49" s="24">
        <v>98.5815527</v>
      </c>
      <c r="P49" s="24">
        <v>100</v>
      </c>
      <c r="Q49" s="24">
        <v>88.7883626</v>
      </c>
      <c r="R49" s="24">
        <v>90.3738931</v>
      </c>
      <c r="S49" s="24">
        <v>90.3983197</v>
      </c>
      <c r="T49" s="24">
        <v>92.0059215</v>
      </c>
      <c r="U49" s="24">
        <v>89.9873578</v>
      </c>
      <c r="V49" s="24">
        <v>91.3791574</v>
      </c>
      <c r="W49" s="24">
        <v>90.6726964</v>
      </c>
      <c r="X49" s="24">
        <v>89.1071134</v>
      </c>
      <c r="Y49" s="24">
        <v>88.5333333</v>
      </c>
      <c r="Z49" s="24">
        <v>90.8025702</v>
      </c>
      <c r="AA49" s="24">
        <v>87.8477556</v>
      </c>
      <c r="AB49" s="24">
        <v>87.8231147</v>
      </c>
      <c r="AC49" s="24">
        <v>90.4200179</v>
      </c>
      <c r="AD49" s="24">
        <v>90.1426962</v>
      </c>
    </row>
    <row r="50" spans="1:30">
      <c r="A50" s="24" t="s">
        <v>168</v>
      </c>
      <c r="B50" s="24">
        <v>89.6981239</v>
      </c>
      <c r="C50" s="24">
        <v>90.3969472</v>
      </c>
      <c r="D50" s="24">
        <v>91.0738038</v>
      </c>
      <c r="E50" s="24">
        <v>88.8256261</v>
      </c>
      <c r="F50" s="24">
        <v>92.1605187</v>
      </c>
      <c r="G50" s="24">
        <v>86.8206226</v>
      </c>
      <c r="H50" s="24">
        <v>86.6234409</v>
      </c>
      <c r="I50" s="24">
        <v>87.2333012</v>
      </c>
      <c r="J50" s="24">
        <v>93.2715623</v>
      </c>
      <c r="K50" s="24">
        <v>85.9311589</v>
      </c>
      <c r="L50" s="24">
        <v>87.8313942</v>
      </c>
      <c r="M50" s="24">
        <v>88.3605394</v>
      </c>
      <c r="N50" s="24">
        <v>90.3981265</v>
      </c>
      <c r="O50" s="24">
        <v>87.2965997</v>
      </c>
      <c r="P50" s="24">
        <v>88.6820276</v>
      </c>
      <c r="Q50" s="24">
        <v>100</v>
      </c>
      <c r="R50" s="24">
        <v>87.1831489</v>
      </c>
      <c r="S50" s="24">
        <v>93.6604429</v>
      </c>
      <c r="T50" s="24">
        <v>92.8767123</v>
      </c>
      <c r="U50" s="24">
        <v>90.9166899</v>
      </c>
      <c r="V50" s="24">
        <v>86.8920427</v>
      </c>
      <c r="W50" s="24">
        <v>92.8767123</v>
      </c>
      <c r="X50" s="24">
        <v>94.0421161</v>
      </c>
      <c r="Y50" s="24">
        <v>92.0520231</v>
      </c>
      <c r="Z50" s="24">
        <v>92.3228346</v>
      </c>
      <c r="AA50" s="24">
        <v>92.1653972</v>
      </c>
      <c r="AB50" s="24">
        <v>93.4494196</v>
      </c>
      <c r="AC50" s="24">
        <v>87.5373649</v>
      </c>
      <c r="AD50" s="24">
        <v>86.5300146</v>
      </c>
    </row>
    <row r="51" spans="1:30">
      <c r="A51" s="24" t="s">
        <v>169</v>
      </c>
      <c r="B51" s="24">
        <v>93.7162494</v>
      </c>
      <c r="C51" s="24">
        <v>88.7958474</v>
      </c>
      <c r="D51" s="24">
        <v>88.9506602</v>
      </c>
      <c r="E51" s="24">
        <v>91.3307985</v>
      </c>
      <c r="F51" s="24">
        <v>94.6858566</v>
      </c>
      <c r="G51" s="24">
        <v>88.2039378</v>
      </c>
      <c r="H51" s="24">
        <v>89.9132925</v>
      </c>
      <c r="I51" s="24">
        <v>89.7705545</v>
      </c>
      <c r="J51" s="24">
        <v>89.9844548</v>
      </c>
      <c r="K51" s="24">
        <v>88.6521786</v>
      </c>
      <c r="L51" s="24">
        <v>94.4397163</v>
      </c>
      <c r="M51" s="24">
        <v>90.8181585</v>
      </c>
      <c r="N51" s="24">
        <v>88.8996326</v>
      </c>
      <c r="O51" s="24">
        <v>90.1324143</v>
      </c>
      <c r="P51" s="24">
        <v>90.3738931</v>
      </c>
      <c r="Q51" s="24">
        <v>87.1831489</v>
      </c>
      <c r="R51" s="24">
        <v>100</v>
      </c>
      <c r="S51" s="24">
        <v>90.4691101</v>
      </c>
      <c r="T51" s="24">
        <v>88.4530276</v>
      </c>
      <c r="U51" s="24">
        <v>84.8682346</v>
      </c>
      <c r="V51" s="24">
        <v>87.7862595</v>
      </c>
      <c r="W51" s="24">
        <v>90.1463029</v>
      </c>
      <c r="X51" s="24">
        <v>90.5178211</v>
      </c>
      <c r="Y51" s="24">
        <v>91.1065852</v>
      </c>
      <c r="Z51" s="24">
        <v>89.394539</v>
      </c>
      <c r="AA51" s="24">
        <v>90.0053352</v>
      </c>
      <c r="AB51" s="24">
        <v>87.662018</v>
      </c>
      <c r="AC51" s="24">
        <v>91.1910786</v>
      </c>
      <c r="AD51" s="24">
        <v>89.5681125</v>
      </c>
    </row>
    <row r="52" spans="1:30">
      <c r="A52" s="24" t="s">
        <v>170</v>
      </c>
      <c r="B52" s="24">
        <v>91.4503817</v>
      </c>
      <c r="C52" s="24">
        <v>90.755799</v>
      </c>
      <c r="D52" s="24">
        <v>85.4687251</v>
      </c>
      <c r="E52" s="24">
        <v>98.5431842</v>
      </c>
      <c r="F52" s="24">
        <v>87.7007175</v>
      </c>
      <c r="G52" s="24">
        <v>89.4496366</v>
      </c>
      <c r="H52" s="24">
        <v>88.2667175</v>
      </c>
      <c r="I52" s="24">
        <v>90.3410641</v>
      </c>
      <c r="J52" s="24">
        <v>85.0645482</v>
      </c>
      <c r="K52" s="24">
        <v>87.3398018</v>
      </c>
      <c r="L52" s="24">
        <v>88.9655172</v>
      </c>
      <c r="M52" s="24">
        <v>87.7707495</v>
      </c>
      <c r="N52" s="24">
        <v>87.0367546</v>
      </c>
      <c r="O52" s="24">
        <v>85.6434826</v>
      </c>
      <c r="P52" s="24">
        <v>90.3983197</v>
      </c>
      <c r="Q52" s="24">
        <v>93.6604429</v>
      </c>
      <c r="R52" s="24">
        <v>90.6794626</v>
      </c>
      <c r="S52" s="24">
        <v>100</v>
      </c>
      <c r="T52" s="24">
        <v>90.7859819</v>
      </c>
      <c r="U52" s="24">
        <v>86.8347586</v>
      </c>
      <c r="V52" s="24">
        <v>86.6422297</v>
      </c>
      <c r="W52" s="24">
        <v>90.8010269</v>
      </c>
      <c r="X52" s="24">
        <v>89.7359763</v>
      </c>
      <c r="Y52" s="24">
        <v>90.763577</v>
      </c>
      <c r="Z52" s="24">
        <v>90.8216645</v>
      </c>
      <c r="AA52" s="24">
        <v>89.6829745</v>
      </c>
      <c r="AB52" s="24">
        <v>86.8867222</v>
      </c>
      <c r="AC52" s="24">
        <v>83.7006468</v>
      </c>
      <c r="AD52" s="24">
        <v>83.9093909</v>
      </c>
    </row>
    <row r="53" spans="1:30">
      <c r="A53" s="24" t="s">
        <v>171</v>
      </c>
      <c r="B53" s="24">
        <v>90.6900329</v>
      </c>
      <c r="C53" s="24">
        <v>92.7488464</v>
      </c>
      <c r="D53" s="24">
        <v>86.2177166</v>
      </c>
      <c r="E53" s="24">
        <v>99.6805112</v>
      </c>
      <c r="F53" s="24">
        <v>95.4150198</v>
      </c>
      <c r="G53" s="24">
        <v>92.9050815</v>
      </c>
      <c r="H53" s="24">
        <v>91.4658635</v>
      </c>
      <c r="I53" s="24">
        <v>89.4124491</v>
      </c>
      <c r="J53" s="24">
        <v>90.3877662</v>
      </c>
      <c r="K53" s="24">
        <v>84.674938</v>
      </c>
      <c r="L53" s="24">
        <v>89.2957746</v>
      </c>
      <c r="M53" s="24">
        <v>91.0540301</v>
      </c>
      <c r="N53" s="24">
        <v>88.018794</v>
      </c>
      <c r="O53" s="24">
        <v>85.2424081</v>
      </c>
      <c r="P53" s="24">
        <v>92.0059215</v>
      </c>
      <c r="Q53" s="24">
        <v>92.8767123</v>
      </c>
      <c r="R53" s="24">
        <v>88.9108911</v>
      </c>
      <c r="S53" s="24">
        <v>90.7792873</v>
      </c>
      <c r="T53" s="24">
        <v>100</v>
      </c>
      <c r="U53" s="24">
        <v>86.0109066</v>
      </c>
      <c r="V53" s="24">
        <v>85.9909991</v>
      </c>
      <c r="W53" s="24">
        <v>99.1599786</v>
      </c>
      <c r="X53" s="24">
        <v>89.6247667</v>
      </c>
      <c r="Y53" s="24">
        <v>99.3177306</v>
      </c>
      <c r="Z53" s="24">
        <v>99.3531222</v>
      </c>
      <c r="AA53" s="24">
        <v>89.6285788</v>
      </c>
      <c r="AB53" s="24">
        <v>85.9576258</v>
      </c>
      <c r="AC53" s="24">
        <v>82.7005996</v>
      </c>
      <c r="AD53" s="24">
        <v>83.1208244</v>
      </c>
    </row>
    <row r="54" spans="1:30">
      <c r="A54" s="24" t="s">
        <v>172</v>
      </c>
      <c r="B54" s="24">
        <v>95.0877193</v>
      </c>
      <c r="C54" s="24">
        <v>95.2432432</v>
      </c>
      <c r="D54" s="24">
        <v>88.6089161</v>
      </c>
      <c r="E54" s="24">
        <v>89.2116183</v>
      </c>
      <c r="F54" s="24">
        <v>89.055533</v>
      </c>
      <c r="G54" s="24">
        <v>94.1494149</v>
      </c>
      <c r="H54" s="24">
        <v>86.036036</v>
      </c>
      <c r="I54" s="24">
        <v>94.4801027</v>
      </c>
      <c r="J54" s="24">
        <v>89.1625616</v>
      </c>
      <c r="K54" s="24">
        <v>85.1393838</v>
      </c>
      <c r="L54" s="24">
        <v>89.3667457</v>
      </c>
      <c r="M54" s="24">
        <v>88.6792453</v>
      </c>
      <c r="N54" s="24">
        <v>88.5317997</v>
      </c>
      <c r="O54" s="24">
        <v>86.6095582</v>
      </c>
      <c r="P54" s="24">
        <v>89.9873578</v>
      </c>
      <c r="Q54" s="24">
        <v>90.9166899</v>
      </c>
      <c r="R54" s="24">
        <v>84.8589956</v>
      </c>
      <c r="S54" s="24">
        <v>86.8341787</v>
      </c>
      <c r="T54" s="24">
        <v>86.028509</v>
      </c>
      <c r="U54" s="24">
        <v>100</v>
      </c>
      <c r="V54" s="24">
        <v>88.9206446</v>
      </c>
      <c r="W54" s="24">
        <v>86.0247911</v>
      </c>
      <c r="X54" s="24">
        <v>86.5674719</v>
      </c>
      <c r="Y54" s="24">
        <v>85.9632754</v>
      </c>
      <c r="Z54" s="24">
        <v>86.0004545</v>
      </c>
      <c r="AA54" s="24">
        <v>86.5418733</v>
      </c>
      <c r="AB54" s="24">
        <v>88.4437841</v>
      </c>
      <c r="AC54" s="24">
        <v>82.6826184</v>
      </c>
      <c r="AD54" s="24">
        <v>82.6216244</v>
      </c>
    </row>
    <row r="55" spans="1:30">
      <c r="A55" s="24" t="s">
        <v>173</v>
      </c>
      <c r="B55" s="24">
        <v>93.6487362</v>
      </c>
      <c r="C55" s="24">
        <v>90.9789388</v>
      </c>
      <c r="D55" s="24">
        <v>86.8919912</v>
      </c>
      <c r="E55" s="24">
        <v>98.3656793</v>
      </c>
      <c r="F55" s="24">
        <v>85.4576081</v>
      </c>
      <c r="G55" s="24">
        <v>89.6648649</v>
      </c>
      <c r="H55" s="24">
        <v>90.452201</v>
      </c>
      <c r="I55" s="24">
        <v>91.9976464</v>
      </c>
      <c r="J55" s="24">
        <v>92.4422673</v>
      </c>
      <c r="K55" s="24">
        <v>86.3463132</v>
      </c>
      <c r="L55" s="24">
        <v>88.6385519</v>
      </c>
      <c r="M55" s="24">
        <v>88.1535649</v>
      </c>
      <c r="N55" s="24">
        <v>89.4718433</v>
      </c>
      <c r="O55" s="24">
        <v>86.4693794</v>
      </c>
      <c r="P55" s="24">
        <v>91.3791574</v>
      </c>
      <c r="Q55" s="24">
        <v>86.8920427</v>
      </c>
      <c r="R55" s="24">
        <v>87.7862595</v>
      </c>
      <c r="S55" s="24">
        <v>86.6515655</v>
      </c>
      <c r="T55" s="24">
        <v>86.0069767</v>
      </c>
      <c r="U55" s="24">
        <v>88.9188916</v>
      </c>
      <c r="V55" s="24">
        <v>100</v>
      </c>
      <c r="W55" s="24">
        <v>85.9556257</v>
      </c>
      <c r="X55" s="24">
        <v>86.4333835</v>
      </c>
      <c r="Y55" s="24">
        <v>85.8790235</v>
      </c>
      <c r="Z55" s="24">
        <v>85.9531278</v>
      </c>
      <c r="AA55" s="24">
        <v>86.5339771</v>
      </c>
      <c r="AB55" s="24">
        <v>88.0293262</v>
      </c>
      <c r="AC55" s="24">
        <v>83.3205322</v>
      </c>
      <c r="AD55" s="24">
        <v>83.5131982</v>
      </c>
    </row>
    <row r="56" spans="1:30">
      <c r="A56" s="24" t="s">
        <v>174</v>
      </c>
      <c r="B56" s="24">
        <v>90.6900329</v>
      </c>
      <c r="C56" s="24">
        <v>90.1058873</v>
      </c>
      <c r="D56" s="24">
        <v>86.1106805</v>
      </c>
      <c r="E56" s="24">
        <v>99.6805112</v>
      </c>
      <c r="F56" s="24">
        <v>86.5841073</v>
      </c>
      <c r="G56" s="24">
        <v>92.4313463</v>
      </c>
      <c r="H56" s="24">
        <v>90.051207</v>
      </c>
      <c r="I56" s="24">
        <v>90.4059041</v>
      </c>
      <c r="J56" s="24">
        <v>87.278886</v>
      </c>
      <c r="K56" s="24">
        <v>85.7411942</v>
      </c>
      <c r="L56" s="24">
        <v>90.6002792</v>
      </c>
      <c r="M56" s="24">
        <v>91.0540301</v>
      </c>
      <c r="N56" s="24">
        <v>88.2099491</v>
      </c>
      <c r="O56" s="24">
        <v>85.8749438</v>
      </c>
      <c r="P56" s="24">
        <v>90.6726964</v>
      </c>
      <c r="Q56" s="24">
        <v>92.8767123</v>
      </c>
      <c r="R56" s="24">
        <v>90.3756445</v>
      </c>
      <c r="S56" s="24">
        <v>90.7936841</v>
      </c>
      <c r="T56" s="24">
        <v>99.1636459</v>
      </c>
      <c r="U56" s="24">
        <v>86.0165456</v>
      </c>
      <c r="V56" s="24">
        <v>85.9445477</v>
      </c>
      <c r="W56" s="24">
        <v>100</v>
      </c>
      <c r="X56" s="24">
        <v>89.6155981</v>
      </c>
      <c r="Y56" s="24">
        <v>99.1676844</v>
      </c>
      <c r="Z56" s="24">
        <v>99.2020526</v>
      </c>
      <c r="AA56" s="24">
        <v>89.6290702</v>
      </c>
      <c r="AB56" s="24">
        <v>85.9668801</v>
      </c>
      <c r="AC56" s="24">
        <v>83.1528395</v>
      </c>
      <c r="AD56" s="24">
        <v>83.6142494</v>
      </c>
    </row>
    <row r="57" spans="1:30">
      <c r="A57" s="24" t="s">
        <v>175</v>
      </c>
      <c r="B57" s="24">
        <v>89.7133883</v>
      </c>
      <c r="C57" s="24">
        <v>89.2435365</v>
      </c>
      <c r="D57" s="24">
        <v>88.9095646</v>
      </c>
      <c r="E57" s="24">
        <v>94.2404608</v>
      </c>
      <c r="F57" s="24">
        <v>87.7187401</v>
      </c>
      <c r="G57" s="24">
        <v>88.1473572</v>
      </c>
      <c r="H57" s="24">
        <v>90.9879653</v>
      </c>
      <c r="I57" s="24">
        <v>89.9724855</v>
      </c>
      <c r="J57" s="24">
        <v>91.0492292</v>
      </c>
      <c r="K57" s="24">
        <v>89.8490202</v>
      </c>
      <c r="L57" s="24">
        <v>87.3064229</v>
      </c>
      <c r="M57" s="24">
        <v>87.4974211</v>
      </c>
      <c r="N57" s="24">
        <v>87.9802027</v>
      </c>
      <c r="O57" s="24">
        <v>87.6630555</v>
      </c>
      <c r="P57" s="24">
        <v>89.1071134</v>
      </c>
      <c r="Q57" s="24">
        <v>94.0421161</v>
      </c>
      <c r="R57" s="24">
        <v>90.5178211</v>
      </c>
      <c r="S57" s="24">
        <v>89.7445617</v>
      </c>
      <c r="T57" s="24">
        <v>89.613807</v>
      </c>
      <c r="U57" s="24">
        <v>86.5604795</v>
      </c>
      <c r="V57" s="24">
        <v>86.4285846</v>
      </c>
      <c r="W57" s="24">
        <v>89.6121439</v>
      </c>
      <c r="X57" s="24">
        <v>100</v>
      </c>
      <c r="Y57" s="24">
        <v>89.640909</v>
      </c>
      <c r="Z57" s="24">
        <v>89.6031211</v>
      </c>
      <c r="AA57" s="24">
        <v>97.8896698</v>
      </c>
      <c r="AB57" s="24">
        <v>86.4847459</v>
      </c>
      <c r="AC57" s="24">
        <v>82.9226449</v>
      </c>
      <c r="AD57" s="24">
        <v>82.701498</v>
      </c>
    </row>
    <row r="58" spans="1:30">
      <c r="A58" s="24" t="s">
        <v>176</v>
      </c>
      <c r="B58" s="24">
        <v>93.5012185</v>
      </c>
      <c r="C58" s="24">
        <v>89.4366197</v>
      </c>
      <c r="D58" s="24">
        <v>83.3993743</v>
      </c>
      <c r="E58" s="24">
        <v>100</v>
      </c>
      <c r="F58" s="24">
        <v>84.2364532</v>
      </c>
      <c r="G58" s="24">
        <v>97.4129353</v>
      </c>
      <c r="H58" s="24">
        <v>93.9957112</v>
      </c>
      <c r="I58" s="24">
        <v>91.8149466</v>
      </c>
      <c r="J58" s="24">
        <v>92.2005571</v>
      </c>
      <c r="K58" s="24">
        <v>86.252588</v>
      </c>
      <c r="L58" s="24">
        <v>87.4902267</v>
      </c>
      <c r="M58" s="24">
        <v>87.5148633</v>
      </c>
      <c r="N58" s="24">
        <v>88.2478632</v>
      </c>
      <c r="O58" s="24">
        <v>86.9699306</v>
      </c>
      <c r="P58" s="24">
        <v>88.5333333</v>
      </c>
      <c r="Q58" s="24">
        <v>92.0520231</v>
      </c>
      <c r="R58" s="24">
        <v>92.3809524</v>
      </c>
      <c r="S58" s="24">
        <v>90.7598028</v>
      </c>
      <c r="T58" s="24">
        <v>99.3231009</v>
      </c>
      <c r="U58" s="24">
        <v>85.9618613</v>
      </c>
      <c r="V58" s="24">
        <v>85.886519</v>
      </c>
      <c r="W58" s="24">
        <v>99.1737632</v>
      </c>
      <c r="X58" s="24">
        <v>89.6435163</v>
      </c>
      <c r="Y58" s="24">
        <v>100</v>
      </c>
      <c r="Z58" s="24">
        <v>99.870971</v>
      </c>
      <c r="AA58" s="24">
        <v>89.6210046</v>
      </c>
      <c r="AB58" s="24">
        <v>85.9145546</v>
      </c>
      <c r="AC58" s="24">
        <v>82.2906304</v>
      </c>
      <c r="AD58" s="24">
        <v>82.2062854</v>
      </c>
    </row>
    <row r="59" spans="1:30">
      <c r="A59" s="24" t="s">
        <v>177</v>
      </c>
      <c r="B59" s="24">
        <v>89.9401198</v>
      </c>
      <c r="C59" s="24">
        <v>89.1232696</v>
      </c>
      <c r="D59" s="24">
        <v>84.8006361</v>
      </c>
      <c r="E59" s="24">
        <v>99.6805112</v>
      </c>
      <c r="F59" s="24">
        <v>85.5218855</v>
      </c>
      <c r="G59" s="24">
        <v>91.7607223</v>
      </c>
      <c r="H59" s="24">
        <v>88.4105359</v>
      </c>
      <c r="I59" s="24">
        <v>89.4124491</v>
      </c>
      <c r="J59" s="24">
        <v>88.5450955</v>
      </c>
      <c r="K59" s="24">
        <v>85.7642082</v>
      </c>
      <c r="L59" s="24">
        <v>89.2957746</v>
      </c>
      <c r="M59" s="24">
        <v>90.3901047</v>
      </c>
      <c r="N59" s="24">
        <v>87.641357</v>
      </c>
      <c r="O59" s="24">
        <v>84.1989172</v>
      </c>
      <c r="P59" s="24">
        <v>90.8025702</v>
      </c>
      <c r="Q59" s="24">
        <v>92.3228346</v>
      </c>
      <c r="R59" s="24">
        <v>89.6508986</v>
      </c>
      <c r="S59" s="24">
        <v>90.8241366</v>
      </c>
      <c r="T59" s="24">
        <v>99.3553792</v>
      </c>
      <c r="U59" s="24">
        <v>85.9922503</v>
      </c>
      <c r="V59" s="24">
        <v>85.9457343</v>
      </c>
      <c r="W59" s="24">
        <v>99.205207</v>
      </c>
      <c r="X59" s="24">
        <v>89.6104282</v>
      </c>
      <c r="Y59" s="24">
        <v>99.8685704</v>
      </c>
      <c r="Z59" s="24">
        <v>100</v>
      </c>
      <c r="AA59" s="24">
        <v>89.6107382</v>
      </c>
      <c r="AB59" s="24">
        <v>85.9295626</v>
      </c>
      <c r="AC59" s="24">
        <v>82.981827</v>
      </c>
      <c r="AD59" s="24">
        <v>83.3437491</v>
      </c>
    </row>
    <row r="60" spans="1:30">
      <c r="A60" s="24" t="s">
        <v>178</v>
      </c>
      <c r="B60" s="24">
        <v>94.6531792</v>
      </c>
      <c r="C60" s="24">
        <v>89.218229</v>
      </c>
      <c r="D60" s="24">
        <v>85.6165206</v>
      </c>
      <c r="E60" s="24">
        <v>93.3603239</v>
      </c>
      <c r="F60" s="24">
        <v>83.5436648</v>
      </c>
      <c r="G60" s="24">
        <v>89.4618834</v>
      </c>
      <c r="H60" s="24">
        <v>91.6548798</v>
      </c>
      <c r="I60" s="24">
        <v>83.7016575</v>
      </c>
      <c r="J60" s="24">
        <v>84.7331319</v>
      </c>
      <c r="K60" s="24">
        <v>87.961403</v>
      </c>
      <c r="L60" s="24">
        <v>86.9415808</v>
      </c>
      <c r="M60" s="24">
        <v>86.1967695</v>
      </c>
      <c r="N60" s="24">
        <v>85.9015438</v>
      </c>
      <c r="O60" s="24">
        <v>84.9648192</v>
      </c>
      <c r="P60" s="24">
        <v>87.8477556</v>
      </c>
      <c r="Q60" s="24">
        <v>92.1653972</v>
      </c>
      <c r="R60" s="24">
        <v>90.0053352</v>
      </c>
      <c r="S60" s="24">
        <v>89.667895</v>
      </c>
      <c r="T60" s="24">
        <v>89.6256926</v>
      </c>
      <c r="U60" s="24">
        <v>86.5387825</v>
      </c>
      <c r="V60" s="24">
        <v>86.5305411</v>
      </c>
      <c r="W60" s="24">
        <v>89.6187915</v>
      </c>
      <c r="X60" s="24">
        <v>97.8914245</v>
      </c>
      <c r="Y60" s="24">
        <v>89.6230605</v>
      </c>
      <c r="Z60" s="24">
        <v>89.6019825</v>
      </c>
      <c r="AA60" s="24">
        <v>100</v>
      </c>
      <c r="AB60" s="24">
        <v>86.5056008</v>
      </c>
      <c r="AC60" s="24">
        <v>83.3073444</v>
      </c>
      <c r="AD60" s="24">
        <v>83.3714658</v>
      </c>
    </row>
    <row r="61" spans="1:30">
      <c r="A61" s="24" t="s">
        <v>179</v>
      </c>
      <c r="B61" s="24">
        <v>90.9090909</v>
      </c>
      <c r="C61" s="24">
        <v>87.3873874</v>
      </c>
      <c r="D61" s="24">
        <v>86.3149018</v>
      </c>
      <c r="E61" s="24">
        <v>94.425864</v>
      </c>
      <c r="F61" s="24">
        <v>87.7344877</v>
      </c>
      <c r="G61" s="24">
        <v>84.675835</v>
      </c>
      <c r="H61" s="24">
        <v>88.5112782</v>
      </c>
      <c r="I61" s="24">
        <v>87.8902554</v>
      </c>
      <c r="J61" s="24">
        <v>86.829559</v>
      </c>
      <c r="K61" s="24">
        <v>84.5633891</v>
      </c>
      <c r="L61" s="24">
        <v>87.1953738</v>
      </c>
      <c r="M61" s="24">
        <v>88.2621454</v>
      </c>
      <c r="N61" s="24">
        <v>87.598896</v>
      </c>
      <c r="O61" s="24">
        <v>86.0215054</v>
      </c>
      <c r="P61" s="24">
        <v>87.9085665</v>
      </c>
      <c r="Q61" s="24">
        <v>93.4494196</v>
      </c>
      <c r="R61" s="24">
        <v>87.9130588</v>
      </c>
      <c r="S61" s="24">
        <v>86.8847742</v>
      </c>
      <c r="T61" s="24">
        <v>85.9501914</v>
      </c>
      <c r="U61" s="24">
        <v>88.4526405</v>
      </c>
      <c r="V61" s="24">
        <v>88.0348921</v>
      </c>
      <c r="W61" s="24">
        <v>85.9833624</v>
      </c>
      <c r="X61" s="24">
        <v>86.4888642</v>
      </c>
      <c r="Y61" s="24">
        <v>85.9083476</v>
      </c>
      <c r="Z61" s="24">
        <v>85.9185076</v>
      </c>
      <c r="AA61" s="24">
        <v>86.516696</v>
      </c>
      <c r="AB61" s="24">
        <v>100</v>
      </c>
      <c r="AC61" s="24">
        <v>83.2512265</v>
      </c>
      <c r="AD61" s="24">
        <v>83.1232625</v>
      </c>
    </row>
    <row r="62" spans="1:30">
      <c r="A62" s="24" t="s">
        <v>180</v>
      </c>
      <c r="B62" s="24">
        <v>98.5324948</v>
      </c>
      <c r="C62" s="24">
        <v>90.4807692</v>
      </c>
      <c r="D62" s="24">
        <v>94.1251596</v>
      </c>
      <c r="E62" s="24">
        <v>98.4924623</v>
      </c>
      <c r="F62" s="24">
        <v>99.047619</v>
      </c>
      <c r="G62" s="24">
        <v>91.5939218</v>
      </c>
      <c r="H62" s="24">
        <v>88.9135774</v>
      </c>
      <c r="I62" s="24">
        <v>92.3352436</v>
      </c>
      <c r="J62" s="24">
        <v>98.3572895</v>
      </c>
      <c r="K62" s="24">
        <v>87.3696275</v>
      </c>
      <c r="L62" s="24">
        <v>91.7213115</v>
      </c>
      <c r="M62" s="24">
        <v>89.2493049</v>
      </c>
      <c r="N62" s="24">
        <v>87.3296501</v>
      </c>
      <c r="O62" s="24">
        <v>87.1167161</v>
      </c>
      <c r="P62" s="24">
        <v>90.4200179</v>
      </c>
      <c r="Q62" s="24">
        <v>87.5373649</v>
      </c>
      <c r="R62" s="24">
        <v>91.1910786</v>
      </c>
      <c r="S62" s="24">
        <v>83.7006468</v>
      </c>
      <c r="T62" s="24">
        <v>82.7005996</v>
      </c>
      <c r="U62" s="24">
        <v>82.6992378</v>
      </c>
      <c r="V62" s="24">
        <v>83.330687</v>
      </c>
      <c r="W62" s="24">
        <v>83.1528395</v>
      </c>
      <c r="X62" s="24">
        <v>82.9340228</v>
      </c>
      <c r="Y62" s="24">
        <v>82.2881276</v>
      </c>
      <c r="Z62" s="24">
        <v>82.981827</v>
      </c>
      <c r="AA62" s="24">
        <v>83.3013699</v>
      </c>
      <c r="AB62" s="24">
        <v>83.2697385</v>
      </c>
      <c r="AC62" s="24">
        <v>100</v>
      </c>
      <c r="AD62" s="24">
        <v>83.8479268</v>
      </c>
    </row>
    <row r="63" spans="1:30">
      <c r="A63" s="24" t="s">
        <v>181</v>
      </c>
      <c r="B63" s="24">
        <v>94.1919192</v>
      </c>
      <c r="C63" s="24">
        <v>90.0695518</v>
      </c>
      <c r="D63" s="24">
        <v>88.6036318</v>
      </c>
      <c r="E63" s="24">
        <v>93.3486239</v>
      </c>
      <c r="F63" s="24">
        <v>91.8478261</v>
      </c>
      <c r="G63" s="24">
        <v>92.195453</v>
      </c>
      <c r="H63" s="24">
        <v>89.3682589</v>
      </c>
      <c r="I63" s="24">
        <v>93.0099857</v>
      </c>
      <c r="J63" s="24">
        <v>85.8650757</v>
      </c>
      <c r="K63" s="24">
        <v>86.4310879</v>
      </c>
      <c r="L63" s="24">
        <v>92.7287582</v>
      </c>
      <c r="M63" s="24">
        <v>90.965603</v>
      </c>
      <c r="N63" s="24">
        <v>88.21129</v>
      </c>
      <c r="O63" s="24">
        <v>87.9007239</v>
      </c>
      <c r="P63" s="24">
        <v>90.1426962</v>
      </c>
      <c r="Q63" s="24">
        <v>86.5300146</v>
      </c>
      <c r="R63" s="24">
        <v>89.5681125</v>
      </c>
      <c r="S63" s="24">
        <v>83.9078308</v>
      </c>
      <c r="T63" s="24">
        <v>83.1208244</v>
      </c>
      <c r="U63" s="24">
        <v>82.6610142</v>
      </c>
      <c r="V63" s="24">
        <v>83.5131982</v>
      </c>
      <c r="W63" s="24">
        <v>83.6142494</v>
      </c>
      <c r="X63" s="24">
        <v>82.6856686</v>
      </c>
      <c r="Y63" s="24">
        <v>82.2062854</v>
      </c>
      <c r="Z63" s="24">
        <v>83.3322116</v>
      </c>
      <c r="AA63" s="24">
        <v>83.3462774</v>
      </c>
      <c r="AB63" s="24">
        <v>83.050004</v>
      </c>
      <c r="AC63" s="24">
        <v>83.8494841</v>
      </c>
      <c r="AD63" s="24">
        <v>100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2"/>
  <sheetViews>
    <sheetView workbookViewId="0">
      <selection activeCell="N3" sqref="N3"/>
    </sheetView>
  </sheetViews>
  <sheetFormatPr defaultColWidth="8.75454545454545" defaultRowHeight="14"/>
  <cols>
    <col min="1" max="2" width="9.5" style="11"/>
    <col min="3" max="3" width="17.1272727272727" style="11" customWidth="1"/>
    <col min="4" max="17" width="13.8727272727273" style="11"/>
    <col min="18" max="18" width="8.75454545454545" style="1"/>
  </cols>
  <sheetData>
    <row r="1" spans="1:13">
      <c r="A1" s="22" t="s">
        <v>184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>
      <c r="A2" s="23"/>
      <c r="B2" s="23"/>
      <c r="C2" s="23"/>
      <c r="D2" s="2" t="s">
        <v>185</v>
      </c>
      <c r="E2" s="3"/>
      <c r="F2" s="3"/>
      <c r="G2" s="3"/>
      <c r="H2" s="4"/>
      <c r="I2" s="5" t="s">
        <v>186</v>
      </c>
      <c r="J2" s="6"/>
      <c r="K2" s="6"/>
      <c r="L2" s="6"/>
      <c r="M2" s="7"/>
    </row>
    <row r="3" spans="1:13">
      <c r="A3" s="8" t="s">
        <v>187</v>
      </c>
      <c r="B3" s="14" t="s">
        <v>188</v>
      </c>
      <c r="C3" s="8" t="s">
        <v>189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 t="s">
        <v>187</v>
      </c>
      <c r="B4" s="14" t="s">
        <v>190</v>
      </c>
      <c r="C4" s="8" t="s">
        <v>191</v>
      </c>
      <c r="D4" s="8">
        <v>392.091347891575</v>
      </c>
      <c r="E4" s="8">
        <v>0</v>
      </c>
      <c r="F4" s="8">
        <v>0</v>
      </c>
      <c r="G4" s="8">
        <v>23.8864680759042</v>
      </c>
      <c r="H4" s="8">
        <v>0</v>
      </c>
      <c r="I4" s="8">
        <v>0</v>
      </c>
      <c r="J4" s="8">
        <v>0</v>
      </c>
      <c r="K4" s="8">
        <v>0</v>
      </c>
      <c r="L4" s="8">
        <v>3.46226294399437</v>
      </c>
      <c r="M4" s="8">
        <v>2.09795963381291</v>
      </c>
    </row>
    <row r="5" spans="1:13">
      <c r="A5" s="8" t="s">
        <v>187</v>
      </c>
      <c r="B5" s="14" t="s">
        <v>192</v>
      </c>
      <c r="C5" s="8" t="s">
        <v>193</v>
      </c>
      <c r="D5" s="8">
        <v>0</v>
      </c>
      <c r="E5" s="8">
        <v>9.97843607440938</v>
      </c>
      <c r="F5" s="8">
        <v>0</v>
      </c>
      <c r="G5" s="8">
        <v>42.0071245332859</v>
      </c>
      <c r="H5" s="8">
        <v>0</v>
      </c>
      <c r="I5" s="8">
        <v>0</v>
      </c>
      <c r="J5" s="8">
        <v>0</v>
      </c>
      <c r="K5" s="8">
        <v>0</v>
      </c>
      <c r="L5" s="8">
        <v>1.3948966373401</v>
      </c>
      <c r="M5" s="8">
        <v>0</v>
      </c>
    </row>
    <row r="6" spans="1:13">
      <c r="A6" s="8" t="s">
        <v>187</v>
      </c>
      <c r="B6" s="14" t="s">
        <v>192</v>
      </c>
      <c r="C6" s="8" t="s">
        <v>194</v>
      </c>
      <c r="D6" s="8">
        <v>0</v>
      </c>
      <c r="E6" s="8">
        <v>6.65228987753603</v>
      </c>
      <c r="F6" s="8">
        <v>0</v>
      </c>
      <c r="G6" s="8">
        <v>38.5530932609891</v>
      </c>
      <c r="H6" s="8">
        <v>0</v>
      </c>
      <c r="I6" s="8">
        <v>0</v>
      </c>
      <c r="J6" s="8">
        <v>0</v>
      </c>
      <c r="K6" s="8">
        <v>0</v>
      </c>
      <c r="L6" s="8">
        <v>0.946569848362757</v>
      </c>
      <c r="M6" s="8">
        <v>0</v>
      </c>
    </row>
    <row r="7" spans="1:13">
      <c r="A7" s="8" t="s">
        <v>187</v>
      </c>
      <c r="B7" s="14" t="s">
        <v>195</v>
      </c>
      <c r="C7" s="8" t="s">
        <v>196</v>
      </c>
      <c r="D7" s="8">
        <v>0</v>
      </c>
      <c r="E7" s="8">
        <v>0</v>
      </c>
      <c r="F7" s="8">
        <v>0</v>
      </c>
      <c r="G7" s="8">
        <v>24.1342871763535</v>
      </c>
      <c r="H7" s="8">
        <v>0</v>
      </c>
      <c r="I7" s="8">
        <v>0</v>
      </c>
      <c r="J7" s="8">
        <v>0</v>
      </c>
      <c r="K7" s="8">
        <v>0</v>
      </c>
      <c r="L7" s="8">
        <v>4.92140305993714</v>
      </c>
      <c r="M7" s="8">
        <v>5.09798583995038</v>
      </c>
    </row>
    <row r="8" spans="1:13">
      <c r="A8" s="8" t="s">
        <v>187</v>
      </c>
      <c r="B8" s="14" t="s">
        <v>195</v>
      </c>
      <c r="C8" s="8" t="s">
        <v>197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>
      <c r="A9" s="8" t="s">
        <v>187</v>
      </c>
      <c r="B9" s="14" t="s">
        <v>198</v>
      </c>
      <c r="C9" s="8" t="s">
        <v>199</v>
      </c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>
      <c r="A10" s="8" t="s">
        <v>187</v>
      </c>
      <c r="B10" s="14" t="s">
        <v>36</v>
      </c>
      <c r="C10" s="8" t="s">
        <v>130</v>
      </c>
      <c r="D10" s="8">
        <v>0</v>
      </c>
      <c r="E10" s="8">
        <v>0</v>
      </c>
      <c r="F10" s="8">
        <v>0</v>
      </c>
      <c r="G10" s="8">
        <v>0.661451338489484</v>
      </c>
      <c r="H10" s="8">
        <v>0</v>
      </c>
      <c r="I10" s="8">
        <v>0</v>
      </c>
      <c r="J10" s="8">
        <v>242.632823744842</v>
      </c>
      <c r="K10" s="8">
        <v>0</v>
      </c>
      <c r="L10" s="8">
        <v>0</v>
      </c>
      <c r="M10" s="8">
        <v>13.3194635567506</v>
      </c>
    </row>
    <row r="11" spans="1:13">
      <c r="A11" s="8" t="s">
        <v>187</v>
      </c>
      <c r="B11" s="14" t="s">
        <v>200</v>
      </c>
      <c r="C11" s="8" t="s">
        <v>97</v>
      </c>
      <c r="D11" s="8">
        <v>0</v>
      </c>
      <c r="E11" s="8">
        <v>0</v>
      </c>
      <c r="F11" s="8">
        <v>0</v>
      </c>
      <c r="G11" s="8">
        <v>3.46618312186474</v>
      </c>
      <c r="H11" s="8">
        <v>0</v>
      </c>
      <c r="I11" s="8">
        <v>0</v>
      </c>
      <c r="J11" s="8">
        <v>63.9536176349836</v>
      </c>
      <c r="K11" s="8">
        <v>64.9550174423651</v>
      </c>
      <c r="L11" s="8">
        <v>14.1070902927464</v>
      </c>
      <c r="M11" s="8">
        <v>7.14278182236187</v>
      </c>
    </row>
    <row r="12" spans="1:13">
      <c r="A12" s="8" t="s">
        <v>187</v>
      </c>
      <c r="B12" s="14" t="s">
        <v>200</v>
      </c>
      <c r="C12" s="8" t="s">
        <v>98</v>
      </c>
      <c r="D12" s="8">
        <v>0</v>
      </c>
      <c r="E12" s="8">
        <v>6.57965458481418</v>
      </c>
      <c r="F12" s="8">
        <v>0</v>
      </c>
      <c r="G12" s="8">
        <v>12.8968146886901</v>
      </c>
      <c r="H12" s="8">
        <v>5.49352300087086</v>
      </c>
      <c r="I12" s="8">
        <v>60.7784947224702</v>
      </c>
      <c r="J12" s="8">
        <v>0</v>
      </c>
      <c r="K12" s="8">
        <v>52.194823192954</v>
      </c>
      <c r="L12" s="8">
        <v>48.9257285973338</v>
      </c>
      <c r="M12" s="8">
        <v>53.1416044959345</v>
      </c>
    </row>
    <row r="13" spans="1:13">
      <c r="A13" s="8" t="s">
        <v>187</v>
      </c>
      <c r="B13" s="14" t="s">
        <v>200</v>
      </c>
      <c r="C13" s="8" t="s">
        <v>95</v>
      </c>
      <c r="D13" s="8">
        <v>0</v>
      </c>
      <c r="E13" s="8">
        <v>0</v>
      </c>
      <c r="F13" s="8">
        <v>0</v>
      </c>
      <c r="G13" s="8">
        <v>1.26234744760488</v>
      </c>
      <c r="H13" s="8">
        <v>0</v>
      </c>
      <c r="I13" s="8">
        <v>0</v>
      </c>
      <c r="J13" s="8">
        <v>0</v>
      </c>
      <c r="K13" s="8">
        <v>73.8597971837951</v>
      </c>
      <c r="L13" s="8">
        <v>29.3427997293363</v>
      </c>
      <c r="M13" s="8">
        <v>11.6899</v>
      </c>
    </row>
    <row r="14" spans="1:13">
      <c r="A14" s="8" t="s">
        <v>187</v>
      </c>
      <c r="B14" s="14" t="s">
        <v>200</v>
      </c>
      <c r="C14" s="8" t="s">
        <v>93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10.2906405466218</v>
      </c>
      <c r="L14" s="8">
        <v>12.5752561607429</v>
      </c>
      <c r="M14" s="8">
        <v>0</v>
      </c>
    </row>
    <row r="15" spans="1:13">
      <c r="A15" s="8" t="s">
        <v>187</v>
      </c>
      <c r="B15" s="14" t="s">
        <v>200</v>
      </c>
      <c r="C15" s="8" t="s">
        <v>96</v>
      </c>
      <c r="D15" s="8">
        <v>0</v>
      </c>
      <c r="E15" s="8">
        <v>17.4622431195065</v>
      </c>
      <c r="F15" s="8">
        <v>0</v>
      </c>
      <c r="G15" s="8">
        <v>13.0786</v>
      </c>
      <c r="H15" s="8">
        <v>0</v>
      </c>
      <c r="I15" s="8">
        <v>0</v>
      </c>
      <c r="J15" s="8">
        <v>0</v>
      </c>
      <c r="K15" s="8">
        <v>20.2838156005479</v>
      </c>
      <c r="L15" s="8">
        <v>23.0486789103571</v>
      </c>
      <c r="M15" s="8">
        <v>6.90812236014693</v>
      </c>
    </row>
    <row r="16" spans="1:13">
      <c r="A16" s="8" t="s">
        <v>187</v>
      </c>
      <c r="B16" s="14" t="s">
        <v>200</v>
      </c>
      <c r="C16" s="8" t="s">
        <v>94</v>
      </c>
      <c r="D16" s="8">
        <v>0</v>
      </c>
      <c r="E16" s="8">
        <v>0</v>
      </c>
      <c r="F16" s="8">
        <v>11.8836896216562</v>
      </c>
      <c r="G16" s="8">
        <v>5.4254447830772</v>
      </c>
      <c r="H16" s="8">
        <v>0</v>
      </c>
      <c r="I16" s="8">
        <v>5.344419355691</v>
      </c>
      <c r="J16" s="8">
        <v>0</v>
      </c>
      <c r="K16" s="8">
        <v>0</v>
      </c>
      <c r="L16" s="8">
        <v>29.5236375574524</v>
      </c>
      <c r="M16" s="8">
        <v>7.47424599009603</v>
      </c>
    </row>
    <row r="17" spans="1:17">
      <c r="A17" s="8" t="s">
        <v>187</v>
      </c>
      <c r="B17" s="14" t="s">
        <v>201</v>
      </c>
      <c r="C17" s="8" t="s">
        <v>202</v>
      </c>
      <c r="D17" s="8">
        <v>0</v>
      </c>
      <c r="E17" s="8">
        <v>0</v>
      </c>
      <c r="F17" s="8">
        <v>0</v>
      </c>
      <c r="G17" s="8">
        <v>9.17334560208134</v>
      </c>
      <c r="H17" s="8">
        <v>0</v>
      </c>
      <c r="I17" s="8">
        <v>20.4671497063655</v>
      </c>
      <c r="J17" s="8">
        <v>11.9913165642888</v>
      </c>
      <c r="K17" s="8">
        <v>58.2580155257916</v>
      </c>
      <c r="L17" s="8">
        <v>40.5392525215009</v>
      </c>
      <c r="M17" s="8">
        <v>124.420077192955</v>
      </c>
    </row>
    <row r="19" spans="1:17">
      <c r="N19" s="11" t="s">
        <v>203</v>
      </c>
      <c r="O19" s="11" t="s">
        <v>203</v>
      </c>
      <c r="P19" s="11" t="s">
        <v>204</v>
      </c>
      <c r="Q19" s="11" t="s">
        <v>204</v>
      </c>
    </row>
    <row r="20" spans="1:17">
      <c r="B20" s="8" t="s">
        <v>187</v>
      </c>
      <c r="C20" s="8" t="s">
        <v>188</v>
      </c>
      <c r="D20" s="8">
        <f t="shared" ref="D20:M20" si="0">D3</f>
        <v>0</v>
      </c>
      <c r="E20" s="8">
        <f t="shared" si="0"/>
        <v>0</v>
      </c>
      <c r="F20" s="8">
        <f t="shared" si="0"/>
        <v>0</v>
      </c>
      <c r="G20" s="8">
        <f t="shared" si="0"/>
        <v>0</v>
      </c>
      <c r="H20" s="8">
        <f t="shared" si="0"/>
        <v>0</v>
      </c>
      <c r="I20" s="8">
        <f t="shared" si="0"/>
        <v>0</v>
      </c>
      <c r="J20" s="8">
        <f t="shared" si="0"/>
        <v>0</v>
      </c>
      <c r="K20" s="8">
        <f t="shared" si="0"/>
        <v>0</v>
      </c>
      <c r="L20" s="8">
        <f t="shared" si="0"/>
        <v>0</v>
      </c>
      <c r="M20" s="8">
        <f t="shared" si="0"/>
        <v>0</v>
      </c>
      <c r="N20" s="8">
        <f t="shared" ref="N20:N27" si="1">AVERAGE(D20:H20)</f>
        <v>0</v>
      </c>
      <c r="O20" s="8">
        <f t="shared" ref="O20:O27" si="2">AVERAGE(I20:M20)</f>
        <v>0</v>
      </c>
      <c r="P20" s="8">
        <f t="shared" ref="P20:P27" si="3">LOG(N20+1,2)</f>
        <v>0</v>
      </c>
      <c r="Q20" s="8">
        <f t="shared" ref="Q20:Q27" si="4">LOG(O20+1,2)</f>
        <v>0</v>
      </c>
    </row>
    <row r="21" spans="1:17">
      <c r="B21" s="8" t="s">
        <v>187</v>
      </c>
      <c r="C21" s="8" t="s">
        <v>190</v>
      </c>
      <c r="D21" s="8">
        <f t="shared" ref="D21:M21" si="5">D4</f>
        <v>392.091347891575</v>
      </c>
      <c r="E21" s="8">
        <f t="shared" si="5"/>
        <v>0</v>
      </c>
      <c r="F21" s="8">
        <f t="shared" si="5"/>
        <v>0</v>
      </c>
      <c r="G21" s="8">
        <f t="shared" si="5"/>
        <v>23.8864680759042</v>
      </c>
      <c r="H21" s="8">
        <f t="shared" si="5"/>
        <v>0</v>
      </c>
      <c r="I21" s="8">
        <f t="shared" si="5"/>
        <v>0</v>
      </c>
      <c r="J21" s="8">
        <f t="shared" si="5"/>
        <v>0</v>
      </c>
      <c r="K21" s="8">
        <f t="shared" si="5"/>
        <v>0</v>
      </c>
      <c r="L21" s="8">
        <f t="shared" si="5"/>
        <v>3.46226294399437</v>
      </c>
      <c r="M21" s="8">
        <f t="shared" si="5"/>
        <v>2.09795963381291</v>
      </c>
      <c r="N21" s="8">
        <f t="shared" si="1"/>
        <v>83.1955631934958</v>
      </c>
      <c r="O21" s="8">
        <f t="shared" si="2"/>
        <v>1.11204451556146</v>
      </c>
      <c r="P21" s="8">
        <f t="shared" si="3"/>
        <v>6.39567230528839</v>
      </c>
      <c r="Q21" s="8">
        <f t="shared" si="4"/>
        <v>1.07864024269965</v>
      </c>
    </row>
    <row r="22" spans="1:17">
      <c r="B22" s="8" t="s">
        <v>187</v>
      </c>
      <c r="C22" s="8" t="s">
        <v>192</v>
      </c>
      <c r="D22" s="8">
        <f t="shared" ref="D22:M22" si="6">D5+D6</f>
        <v>0</v>
      </c>
      <c r="E22" s="8">
        <f t="shared" si="6"/>
        <v>16.6307259519454</v>
      </c>
      <c r="F22" s="8">
        <f t="shared" si="6"/>
        <v>0</v>
      </c>
      <c r="G22" s="8">
        <f t="shared" si="6"/>
        <v>80.560217794275</v>
      </c>
      <c r="H22" s="8">
        <f t="shared" si="6"/>
        <v>0</v>
      </c>
      <c r="I22" s="8">
        <f t="shared" si="6"/>
        <v>0</v>
      </c>
      <c r="J22" s="8">
        <f t="shared" si="6"/>
        <v>0</v>
      </c>
      <c r="K22" s="8">
        <f t="shared" si="6"/>
        <v>0</v>
      </c>
      <c r="L22" s="8">
        <f t="shared" si="6"/>
        <v>2.34146648570286</v>
      </c>
      <c r="M22" s="8">
        <f t="shared" si="6"/>
        <v>0</v>
      </c>
      <c r="N22" s="8">
        <f t="shared" si="1"/>
        <v>19.4381887492441</v>
      </c>
      <c r="O22" s="8">
        <f t="shared" si="2"/>
        <v>0.468293297140571</v>
      </c>
      <c r="P22" s="8">
        <f t="shared" si="3"/>
        <v>4.35319544388957</v>
      </c>
      <c r="Q22" s="8">
        <f t="shared" si="4"/>
        <v>0.554140180759909</v>
      </c>
    </row>
    <row r="23" spans="1:17">
      <c r="B23" s="8" t="s">
        <v>187</v>
      </c>
      <c r="C23" s="8" t="s">
        <v>195</v>
      </c>
      <c r="D23" s="8">
        <f t="shared" ref="D23:M23" si="7">SUM(D7:D8)</f>
        <v>0</v>
      </c>
      <c r="E23" s="8">
        <f t="shared" si="7"/>
        <v>0</v>
      </c>
      <c r="F23" s="8">
        <f t="shared" si="7"/>
        <v>0</v>
      </c>
      <c r="G23" s="8">
        <f t="shared" si="7"/>
        <v>24.1342871763535</v>
      </c>
      <c r="H23" s="8">
        <f t="shared" si="7"/>
        <v>0</v>
      </c>
      <c r="I23" s="8">
        <f t="shared" si="7"/>
        <v>0</v>
      </c>
      <c r="J23" s="8">
        <f t="shared" si="7"/>
        <v>0</v>
      </c>
      <c r="K23" s="8">
        <f t="shared" si="7"/>
        <v>0</v>
      </c>
      <c r="L23" s="8">
        <f t="shared" si="7"/>
        <v>4.92140305993714</v>
      </c>
      <c r="M23" s="8">
        <f t="shared" si="7"/>
        <v>5.09798583995038</v>
      </c>
      <c r="N23" s="8">
        <f t="shared" si="1"/>
        <v>4.8268574352707</v>
      </c>
      <c r="O23" s="8">
        <f t="shared" si="2"/>
        <v>2.0038777799775</v>
      </c>
      <c r="P23" s="8">
        <f t="shared" si="3"/>
        <v>2.54271801294299</v>
      </c>
      <c r="Q23" s="8">
        <f t="shared" si="4"/>
        <v>1.58682611451416</v>
      </c>
    </row>
    <row r="24" spans="1:17">
      <c r="B24" s="8" t="s">
        <v>187</v>
      </c>
      <c r="C24" s="8" t="s">
        <v>198</v>
      </c>
      <c r="D24" s="8">
        <f t="shared" ref="D24:M24" si="8">D9</f>
        <v>0</v>
      </c>
      <c r="E24" s="8">
        <f t="shared" si="8"/>
        <v>0</v>
      </c>
      <c r="F24" s="8">
        <f t="shared" si="8"/>
        <v>0</v>
      </c>
      <c r="G24" s="8">
        <f t="shared" si="8"/>
        <v>0</v>
      </c>
      <c r="H24" s="8">
        <f t="shared" si="8"/>
        <v>0</v>
      </c>
      <c r="I24" s="8">
        <f t="shared" si="8"/>
        <v>0</v>
      </c>
      <c r="J24" s="8">
        <f t="shared" si="8"/>
        <v>0</v>
      </c>
      <c r="K24" s="8">
        <f t="shared" si="8"/>
        <v>0</v>
      </c>
      <c r="L24" s="8">
        <f t="shared" si="8"/>
        <v>0</v>
      </c>
      <c r="M24" s="8">
        <f t="shared" si="8"/>
        <v>0</v>
      </c>
      <c r="N24" s="8">
        <f t="shared" si="1"/>
        <v>0</v>
      </c>
      <c r="O24" s="8">
        <f t="shared" si="2"/>
        <v>0</v>
      </c>
      <c r="P24" s="8">
        <f t="shared" si="3"/>
        <v>0</v>
      </c>
      <c r="Q24" s="8">
        <f t="shared" si="4"/>
        <v>0</v>
      </c>
    </row>
    <row r="25" spans="1:17">
      <c r="B25" s="8" t="s">
        <v>187</v>
      </c>
      <c r="C25" s="8" t="s">
        <v>36</v>
      </c>
      <c r="D25" s="8">
        <f t="shared" ref="D25:M25" si="9">D10</f>
        <v>0</v>
      </c>
      <c r="E25" s="8">
        <f t="shared" si="9"/>
        <v>0</v>
      </c>
      <c r="F25" s="8">
        <f t="shared" si="9"/>
        <v>0</v>
      </c>
      <c r="G25" s="8">
        <f t="shared" si="9"/>
        <v>0.661451338489484</v>
      </c>
      <c r="H25" s="8">
        <f t="shared" si="9"/>
        <v>0</v>
      </c>
      <c r="I25" s="8">
        <f t="shared" si="9"/>
        <v>0</v>
      </c>
      <c r="J25" s="8">
        <f t="shared" si="9"/>
        <v>242.632823744842</v>
      </c>
      <c r="K25" s="8">
        <f t="shared" si="9"/>
        <v>0</v>
      </c>
      <c r="L25" s="8">
        <f t="shared" si="9"/>
        <v>0</v>
      </c>
      <c r="M25" s="8">
        <f t="shared" si="9"/>
        <v>13.3194635567506</v>
      </c>
      <c r="N25" s="8">
        <f t="shared" si="1"/>
        <v>0.132290267697897</v>
      </c>
      <c r="O25" s="8">
        <f t="shared" si="2"/>
        <v>51.1904574603185</v>
      </c>
      <c r="P25" s="8">
        <f t="shared" si="3"/>
        <v>0.179243846939406</v>
      </c>
      <c r="Q25" s="8">
        <f t="shared" si="4"/>
        <v>5.70571414242618</v>
      </c>
    </row>
    <row r="26" spans="1:17">
      <c r="B26" s="8" t="s">
        <v>187</v>
      </c>
      <c r="C26" s="8" t="s">
        <v>200</v>
      </c>
      <c r="D26" s="8">
        <f t="shared" ref="D26:M26" si="10">SUM(D11:D16)</f>
        <v>0</v>
      </c>
      <c r="E26" s="8">
        <f t="shared" si="10"/>
        <v>24.0418977043206</v>
      </c>
      <c r="F26" s="8">
        <f t="shared" si="10"/>
        <v>11.8836896216562</v>
      </c>
      <c r="G26" s="8">
        <f t="shared" si="10"/>
        <v>36.1293900412369</v>
      </c>
      <c r="H26" s="8">
        <f t="shared" si="10"/>
        <v>5.49352300087086</v>
      </c>
      <c r="I26" s="8">
        <f t="shared" si="10"/>
        <v>66.1229140781612</v>
      </c>
      <c r="J26" s="8">
        <f t="shared" si="10"/>
        <v>63.9536176349836</v>
      </c>
      <c r="K26" s="8">
        <f t="shared" si="10"/>
        <v>221.584093966284</v>
      </c>
      <c r="L26" s="8">
        <f t="shared" si="10"/>
        <v>157.523191247969</v>
      </c>
      <c r="M26" s="8">
        <f t="shared" si="10"/>
        <v>86.3566546685393</v>
      </c>
      <c r="N26" s="8">
        <f t="shared" si="1"/>
        <v>15.5097000736169</v>
      </c>
      <c r="O26" s="8">
        <f t="shared" si="2"/>
        <v>119.108094319187</v>
      </c>
      <c r="P26" s="8">
        <f t="shared" si="3"/>
        <v>4.04524200640226</v>
      </c>
      <c r="Q26" s="8">
        <f t="shared" si="4"/>
        <v>6.90818957013262</v>
      </c>
    </row>
    <row r="27" spans="1:17">
      <c r="B27" s="8" t="s">
        <v>187</v>
      </c>
      <c r="C27" s="8" t="s">
        <v>201</v>
      </c>
      <c r="D27" s="8">
        <f t="shared" ref="D27:M27" si="11">D17</f>
        <v>0</v>
      </c>
      <c r="E27" s="8">
        <f t="shared" si="11"/>
        <v>0</v>
      </c>
      <c r="F27" s="8">
        <f t="shared" si="11"/>
        <v>0</v>
      </c>
      <c r="G27" s="8">
        <f t="shared" si="11"/>
        <v>9.17334560208134</v>
      </c>
      <c r="H27" s="8">
        <f t="shared" si="11"/>
        <v>0</v>
      </c>
      <c r="I27" s="8">
        <f t="shared" si="11"/>
        <v>20.4671497063655</v>
      </c>
      <c r="J27" s="8">
        <f t="shared" si="11"/>
        <v>11.9913165642888</v>
      </c>
      <c r="K27" s="8">
        <f t="shared" si="11"/>
        <v>58.2580155257916</v>
      </c>
      <c r="L27" s="8">
        <f t="shared" si="11"/>
        <v>40.5392525215009</v>
      </c>
      <c r="M27" s="8">
        <f t="shared" si="11"/>
        <v>124.420077192955</v>
      </c>
      <c r="N27" s="8">
        <f t="shared" si="1"/>
        <v>1.83466912041627</v>
      </c>
      <c r="O27" s="8">
        <f t="shared" si="2"/>
        <v>51.1351623021804</v>
      </c>
      <c r="P27" s="8">
        <f t="shared" si="3"/>
        <v>1.50318034497577</v>
      </c>
      <c r="Q27" s="8">
        <f t="shared" si="4"/>
        <v>5.70418481419247</v>
      </c>
    </row>
    <row r="30" spans="1:17">
      <c r="A30" s="8" t="s">
        <v>205</v>
      </c>
      <c r="B30" s="8" t="s">
        <v>188</v>
      </c>
      <c r="C30" s="8" t="s">
        <v>189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7">
      <c r="A31" s="8" t="s">
        <v>205</v>
      </c>
      <c r="B31" s="8" t="s">
        <v>190</v>
      </c>
      <c r="C31" s="8" t="s">
        <v>191</v>
      </c>
      <c r="D31" s="8">
        <v>29.9105164878824</v>
      </c>
      <c r="E31" s="8">
        <v>0</v>
      </c>
      <c r="F31" s="8">
        <v>0</v>
      </c>
      <c r="G31" s="8">
        <v>52.9135607826174</v>
      </c>
      <c r="H31" s="8">
        <v>0</v>
      </c>
      <c r="I31" s="8">
        <v>0</v>
      </c>
      <c r="J31" s="8">
        <v>2.52577662559396</v>
      </c>
      <c r="K31" s="8">
        <v>0</v>
      </c>
      <c r="L31" s="8">
        <v>0</v>
      </c>
      <c r="M31" s="8">
        <v>0</v>
      </c>
    </row>
    <row r="32" spans="1:17">
      <c r="A32" s="8" t="s">
        <v>205</v>
      </c>
      <c r="B32" s="8" t="s">
        <v>192</v>
      </c>
      <c r="C32" s="8" t="s">
        <v>193</v>
      </c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7">
      <c r="A33" s="8" t="s">
        <v>205</v>
      </c>
      <c r="B33" s="8" t="s">
        <v>192</v>
      </c>
      <c r="C33" s="8" t="s">
        <v>194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7">
      <c r="A34" s="8" t="s">
        <v>205</v>
      </c>
      <c r="B34" s="8" t="s">
        <v>195</v>
      </c>
      <c r="C34" s="8" t="s">
        <v>196</v>
      </c>
      <c r="D34" s="8">
        <v>0</v>
      </c>
      <c r="E34" s="8">
        <v>0</v>
      </c>
      <c r="F34" s="8">
        <v>0</v>
      </c>
      <c r="G34" s="8">
        <v>15.8230112859324</v>
      </c>
      <c r="H34" s="8">
        <v>0</v>
      </c>
      <c r="I34" s="8">
        <v>0</v>
      </c>
      <c r="J34" s="8">
        <v>0</v>
      </c>
      <c r="K34" s="8">
        <v>0</v>
      </c>
      <c r="L34" s="8">
        <v>4.61099498634732</v>
      </c>
      <c r="M34" s="8">
        <v>0</v>
      </c>
    </row>
    <row r="35" spans="1:17">
      <c r="A35" s="8" t="s">
        <v>205</v>
      </c>
      <c r="B35" s="8" t="s">
        <v>195</v>
      </c>
      <c r="C35" s="8" t="s">
        <v>197</v>
      </c>
      <c r="D35" s="8">
        <v>0</v>
      </c>
      <c r="E35" s="8">
        <v>0</v>
      </c>
      <c r="F35" s="8">
        <v>0</v>
      </c>
      <c r="G35" s="8">
        <v>43.4886763558394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</row>
    <row r="36" spans="1:17">
      <c r="A36" s="8" t="s">
        <v>205</v>
      </c>
      <c r="B36" s="8" t="s">
        <v>198</v>
      </c>
      <c r="C36" s="8" t="s">
        <v>199</v>
      </c>
      <c r="D36" s="8">
        <v>0</v>
      </c>
      <c r="E36" s="8">
        <v>0</v>
      </c>
      <c r="F36" s="8">
        <v>0</v>
      </c>
      <c r="G36" s="8">
        <v>12.3195282014899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9.19537991581931</v>
      </c>
    </row>
    <row r="37" spans="1:17">
      <c r="A37" s="8" t="s">
        <v>205</v>
      </c>
      <c r="B37" s="8" t="s">
        <v>36</v>
      </c>
      <c r="C37" s="8" t="s">
        <v>130</v>
      </c>
      <c r="D37" s="8">
        <v>0</v>
      </c>
      <c r="E37" s="8">
        <v>0</v>
      </c>
      <c r="F37" s="8">
        <v>5.55676187553255</v>
      </c>
      <c r="G37" s="8">
        <v>0</v>
      </c>
      <c r="H37" s="8">
        <v>0</v>
      </c>
      <c r="I37" s="8">
        <v>0</v>
      </c>
      <c r="J37" s="8">
        <v>179.025263703765</v>
      </c>
      <c r="K37" s="8">
        <v>0</v>
      </c>
      <c r="L37" s="8">
        <v>0</v>
      </c>
      <c r="M37" s="8">
        <v>0</v>
      </c>
    </row>
    <row r="38" spans="1:17">
      <c r="A38" s="8" t="s">
        <v>205</v>
      </c>
      <c r="B38" s="8" t="s">
        <v>200</v>
      </c>
      <c r="C38" s="8" t="s">
        <v>97</v>
      </c>
      <c r="D38" s="8">
        <v>0</v>
      </c>
      <c r="E38" s="8">
        <v>0</v>
      </c>
      <c r="F38" s="8">
        <v>0</v>
      </c>
      <c r="G38" s="8">
        <v>3.26199186824921</v>
      </c>
      <c r="H38" s="8">
        <v>0</v>
      </c>
      <c r="I38" s="8">
        <v>8.37291426054835</v>
      </c>
      <c r="J38" s="8">
        <v>41.3092149969943</v>
      </c>
      <c r="K38" s="8">
        <v>62.0008871476333</v>
      </c>
      <c r="L38" s="8">
        <v>11.16296509514</v>
      </c>
      <c r="M38" s="8">
        <v>16.5098</v>
      </c>
    </row>
    <row r="39" spans="1:17">
      <c r="A39" s="8" t="s">
        <v>205</v>
      </c>
      <c r="B39" s="8" t="s">
        <v>200</v>
      </c>
      <c r="C39" s="8" t="s">
        <v>98</v>
      </c>
      <c r="D39" s="8">
        <v>0</v>
      </c>
      <c r="E39" s="8">
        <v>8.31535667668564</v>
      </c>
      <c r="F39" s="8">
        <v>0</v>
      </c>
      <c r="G39" s="8">
        <v>30.0082084681787</v>
      </c>
      <c r="H39" s="8">
        <v>0</v>
      </c>
      <c r="I39" s="8">
        <v>0</v>
      </c>
      <c r="J39" s="8">
        <v>0</v>
      </c>
      <c r="K39" s="8">
        <v>32.3180954013446</v>
      </c>
      <c r="L39" s="8">
        <v>35.3470768359165</v>
      </c>
      <c r="M39" s="8">
        <v>69.644363696043</v>
      </c>
    </row>
    <row r="40" spans="1:17">
      <c r="A40" s="8" t="s">
        <v>205</v>
      </c>
      <c r="B40" s="8" t="s">
        <v>200</v>
      </c>
      <c r="C40" s="8" t="s">
        <v>95</v>
      </c>
      <c r="D40" s="8">
        <v>0</v>
      </c>
      <c r="E40" s="8">
        <v>0</v>
      </c>
      <c r="F40" s="8">
        <v>0</v>
      </c>
      <c r="G40" s="8">
        <v>2.28133717579251</v>
      </c>
      <c r="H40" s="8">
        <v>0</v>
      </c>
      <c r="I40" s="8">
        <v>0</v>
      </c>
      <c r="J40" s="8">
        <v>0</v>
      </c>
      <c r="K40" s="8">
        <v>90.6833549013264</v>
      </c>
      <c r="L40" s="8">
        <v>44.0139086500769</v>
      </c>
      <c r="M40" s="8">
        <v>0</v>
      </c>
    </row>
    <row r="41" spans="1:17">
      <c r="A41" s="8" t="s">
        <v>205</v>
      </c>
      <c r="B41" s="8" t="s">
        <v>200</v>
      </c>
      <c r="C41" s="8" t="s">
        <v>93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38.1998388462039</v>
      </c>
      <c r="L41" s="8">
        <v>0</v>
      </c>
      <c r="M41" s="8">
        <v>0</v>
      </c>
    </row>
    <row r="42" spans="1:17">
      <c r="A42" s="8" t="s">
        <v>205</v>
      </c>
      <c r="B42" s="8" t="s">
        <v>200</v>
      </c>
      <c r="C42" s="8" t="s">
        <v>96</v>
      </c>
      <c r="D42" s="8">
        <v>0</v>
      </c>
      <c r="E42" s="8">
        <v>6.42289269491136</v>
      </c>
      <c r="F42" s="8">
        <v>0</v>
      </c>
      <c r="G42" s="8">
        <v>0.511982627034281</v>
      </c>
      <c r="H42" s="8">
        <v>0</v>
      </c>
      <c r="I42" s="8">
        <v>0</v>
      </c>
      <c r="J42" s="8">
        <v>0</v>
      </c>
      <c r="K42" s="8">
        <v>2.05378714463234</v>
      </c>
      <c r="L42" s="8">
        <v>108.342068320075</v>
      </c>
      <c r="M42" s="8">
        <v>0</v>
      </c>
    </row>
    <row r="43" spans="1:17">
      <c r="A43" s="8" t="s">
        <v>205</v>
      </c>
      <c r="B43" s="8" t="s">
        <v>200</v>
      </c>
      <c r="C43" s="8" t="s">
        <v>94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1.84696775401023</v>
      </c>
      <c r="J43" s="8">
        <v>0</v>
      </c>
      <c r="K43" s="8">
        <v>37.3692181396139</v>
      </c>
      <c r="L43" s="8">
        <v>13.337585922899</v>
      </c>
      <c r="M43" s="8">
        <v>18.239233455271</v>
      </c>
    </row>
    <row r="44" spans="1:17">
      <c r="A44" s="8" t="s">
        <v>205</v>
      </c>
      <c r="B44" s="8" t="s">
        <v>201</v>
      </c>
      <c r="C44" s="8" t="s">
        <v>202</v>
      </c>
      <c r="D44" s="8">
        <v>0</v>
      </c>
      <c r="E44" s="8">
        <v>0</v>
      </c>
      <c r="F44" s="8">
        <v>14.9087992246054</v>
      </c>
      <c r="G44" s="8">
        <v>4.26381065228366</v>
      </c>
      <c r="H44" s="8">
        <v>0</v>
      </c>
      <c r="I44" s="8">
        <v>66.102037962687</v>
      </c>
      <c r="J44" s="8">
        <v>17.6713830090264</v>
      </c>
      <c r="K44" s="8">
        <v>154.844350049846</v>
      </c>
      <c r="L44" s="8">
        <v>63.3234628172027</v>
      </c>
      <c r="M44" s="8">
        <v>83.1817768453399</v>
      </c>
    </row>
    <row r="46" spans="1:17">
      <c r="N46" s="11" t="s">
        <v>203</v>
      </c>
      <c r="O46" s="11" t="s">
        <v>203</v>
      </c>
      <c r="P46" s="11" t="s">
        <v>204</v>
      </c>
      <c r="Q46" s="11" t="s">
        <v>204</v>
      </c>
    </row>
    <row r="47" spans="1:17">
      <c r="B47" s="8" t="s">
        <v>205</v>
      </c>
      <c r="C47" s="8" t="s">
        <v>188</v>
      </c>
      <c r="D47" s="8">
        <f t="shared" ref="D47:M47" si="12">D30</f>
        <v>0</v>
      </c>
      <c r="E47" s="8">
        <f t="shared" si="12"/>
        <v>0</v>
      </c>
      <c r="F47" s="8">
        <f t="shared" si="12"/>
        <v>0</v>
      </c>
      <c r="G47" s="8">
        <f t="shared" si="12"/>
        <v>0</v>
      </c>
      <c r="H47" s="8">
        <f t="shared" si="12"/>
        <v>0</v>
      </c>
      <c r="I47" s="8">
        <f t="shared" si="12"/>
        <v>0</v>
      </c>
      <c r="J47" s="8">
        <f t="shared" si="12"/>
        <v>0</v>
      </c>
      <c r="K47" s="8">
        <f t="shared" si="12"/>
        <v>0</v>
      </c>
      <c r="L47" s="8">
        <f t="shared" si="12"/>
        <v>0</v>
      </c>
      <c r="M47" s="8">
        <f t="shared" si="12"/>
        <v>0</v>
      </c>
      <c r="N47" s="8">
        <f t="shared" ref="N47:N54" si="13">AVERAGE(D47:H47)</f>
        <v>0</v>
      </c>
      <c r="O47" s="8">
        <f t="shared" ref="O47:O54" si="14">AVERAGE(I47:M47)</f>
        <v>0</v>
      </c>
      <c r="P47" s="8">
        <f t="shared" ref="P47:P54" si="15">LOG(N47+1,2)</f>
        <v>0</v>
      </c>
      <c r="Q47" s="8">
        <f t="shared" ref="Q47:Q54" si="16">LOG(O47+1,2)</f>
        <v>0</v>
      </c>
    </row>
    <row r="48" spans="1:17">
      <c r="B48" s="8" t="s">
        <v>205</v>
      </c>
      <c r="C48" s="8" t="s">
        <v>190</v>
      </c>
      <c r="D48" s="8">
        <f t="shared" ref="D48:M48" si="17">D31</f>
        <v>29.9105164878824</v>
      </c>
      <c r="E48" s="8">
        <f t="shared" si="17"/>
        <v>0</v>
      </c>
      <c r="F48" s="8">
        <f t="shared" si="17"/>
        <v>0</v>
      </c>
      <c r="G48" s="8">
        <f t="shared" si="17"/>
        <v>52.9135607826174</v>
      </c>
      <c r="H48" s="8">
        <f t="shared" si="17"/>
        <v>0</v>
      </c>
      <c r="I48" s="8">
        <f t="shared" si="17"/>
        <v>0</v>
      </c>
      <c r="J48" s="8">
        <f t="shared" si="17"/>
        <v>2.52577662559396</v>
      </c>
      <c r="K48" s="8">
        <f t="shared" si="17"/>
        <v>0</v>
      </c>
      <c r="L48" s="8">
        <f t="shared" si="17"/>
        <v>0</v>
      </c>
      <c r="M48" s="8">
        <f t="shared" si="17"/>
        <v>0</v>
      </c>
      <c r="N48" s="8">
        <f t="shared" si="13"/>
        <v>16.5648154541</v>
      </c>
      <c r="O48" s="8">
        <f t="shared" si="14"/>
        <v>0.505155325118793</v>
      </c>
      <c r="P48" s="8">
        <f t="shared" si="15"/>
        <v>4.13461651375602</v>
      </c>
      <c r="Q48" s="8">
        <f t="shared" si="16"/>
        <v>0.589912374171586</v>
      </c>
    </row>
    <row r="49" spans="1:17">
      <c r="B49" s="8" t="s">
        <v>205</v>
      </c>
      <c r="C49" s="8" t="s">
        <v>192</v>
      </c>
      <c r="D49" s="8">
        <f t="shared" ref="D49:M49" si="18">D32+D33</f>
        <v>0</v>
      </c>
      <c r="E49" s="8">
        <f t="shared" si="18"/>
        <v>0</v>
      </c>
      <c r="F49" s="8">
        <f t="shared" si="18"/>
        <v>0</v>
      </c>
      <c r="G49" s="8">
        <f t="shared" si="18"/>
        <v>0</v>
      </c>
      <c r="H49" s="8">
        <f t="shared" si="18"/>
        <v>0</v>
      </c>
      <c r="I49" s="8">
        <f t="shared" si="18"/>
        <v>0</v>
      </c>
      <c r="J49" s="8">
        <f t="shared" si="18"/>
        <v>0</v>
      </c>
      <c r="K49" s="8">
        <f t="shared" si="18"/>
        <v>0</v>
      </c>
      <c r="L49" s="8">
        <f t="shared" si="18"/>
        <v>0</v>
      </c>
      <c r="M49" s="8">
        <f t="shared" si="18"/>
        <v>0</v>
      </c>
      <c r="N49" s="8">
        <f t="shared" si="13"/>
        <v>0</v>
      </c>
      <c r="O49" s="8">
        <f t="shared" si="14"/>
        <v>0</v>
      </c>
      <c r="P49" s="8">
        <f t="shared" si="15"/>
        <v>0</v>
      </c>
      <c r="Q49" s="8">
        <f t="shared" si="16"/>
        <v>0</v>
      </c>
    </row>
    <row r="50" spans="1:17">
      <c r="B50" s="8" t="s">
        <v>205</v>
      </c>
      <c r="C50" s="8" t="s">
        <v>195</v>
      </c>
      <c r="D50" s="8">
        <f t="shared" ref="D50:M50" si="19">SUM(D34:D35)</f>
        <v>0</v>
      </c>
      <c r="E50" s="8">
        <f t="shared" si="19"/>
        <v>0</v>
      </c>
      <c r="F50" s="8">
        <f t="shared" si="19"/>
        <v>0</v>
      </c>
      <c r="G50" s="8">
        <f t="shared" si="19"/>
        <v>59.3116876417718</v>
      </c>
      <c r="H50" s="8">
        <f t="shared" si="19"/>
        <v>0</v>
      </c>
      <c r="I50" s="8">
        <f t="shared" si="19"/>
        <v>0</v>
      </c>
      <c r="J50" s="8">
        <f t="shared" si="19"/>
        <v>0</v>
      </c>
      <c r="K50" s="8">
        <f t="shared" si="19"/>
        <v>0</v>
      </c>
      <c r="L50" s="8">
        <f t="shared" si="19"/>
        <v>4.61099498634732</v>
      </c>
      <c r="M50" s="8">
        <f t="shared" si="19"/>
        <v>0</v>
      </c>
      <c r="N50" s="8">
        <f t="shared" si="13"/>
        <v>11.8623375283544</v>
      </c>
      <c r="O50" s="8">
        <f t="shared" si="14"/>
        <v>0.922198997269464</v>
      </c>
      <c r="P50" s="8">
        <f t="shared" si="15"/>
        <v>3.68508094860386</v>
      </c>
      <c r="Q50" s="8">
        <f t="shared" si="16"/>
        <v>0.942757700062003</v>
      </c>
    </row>
    <row r="51" spans="1:17">
      <c r="B51" s="8" t="s">
        <v>205</v>
      </c>
      <c r="C51" s="8" t="s">
        <v>198</v>
      </c>
      <c r="D51" s="8">
        <f t="shared" ref="D51:M51" si="20">D36</f>
        <v>0</v>
      </c>
      <c r="E51" s="8">
        <f t="shared" si="20"/>
        <v>0</v>
      </c>
      <c r="F51" s="8">
        <f t="shared" si="20"/>
        <v>0</v>
      </c>
      <c r="G51" s="8">
        <f t="shared" si="20"/>
        <v>12.3195282014899</v>
      </c>
      <c r="H51" s="8">
        <f t="shared" si="20"/>
        <v>0</v>
      </c>
      <c r="I51" s="8">
        <f t="shared" si="20"/>
        <v>0</v>
      </c>
      <c r="J51" s="8">
        <f t="shared" si="20"/>
        <v>0</v>
      </c>
      <c r="K51" s="8">
        <f t="shared" si="20"/>
        <v>0</v>
      </c>
      <c r="L51" s="8">
        <f t="shared" si="20"/>
        <v>0</v>
      </c>
      <c r="M51" s="8">
        <f t="shared" si="20"/>
        <v>9.19537991581931</v>
      </c>
      <c r="N51" s="8">
        <f t="shared" si="13"/>
        <v>2.46390564029798</v>
      </c>
      <c r="O51" s="8">
        <f t="shared" si="14"/>
        <v>1.83907598316386</v>
      </c>
      <c r="P51" s="8">
        <f t="shared" si="15"/>
        <v>1.79239963037401</v>
      </c>
      <c r="Q51" s="8">
        <f t="shared" si="16"/>
        <v>1.50542146092098</v>
      </c>
    </row>
    <row r="52" spans="1:17">
      <c r="B52" s="8" t="s">
        <v>205</v>
      </c>
      <c r="C52" s="8" t="s">
        <v>36</v>
      </c>
      <c r="D52" s="8">
        <f t="shared" ref="D52:M52" si="21">D37</f>
        <v>0</v>
      </c>
      <c r="E52" s="8">
        <f t="shared" si="21"/>
        <v>0</v>
      </c>
      <c r="F52" s="8">
        <f t="shared" si="21"/>
        <v>5.55676187553255</v>
      </c>
      <c r="G52" s="8">
        <f t="shared" si="21"/>
        <v>0</v>
      </c>
      <c r="H52" s="8">
        <f t="shared" si="21"/>
        <v>0</v>
      </c>
      <c r="I52" s="8">
        <f t="shared" si="21"/>
        <v>0</v>
      </c>
      <c r="J52" s="8">
        <f t="shared" si="21"/>
        <v>179.025263703765</v>
      </c>
      <c r="K52" s="8">
        <f t="shared" si="21"/>
        <v>0</v>
      </c>
      <c r="L52" s="8">
        <f t="shared" si="21"/>
        <v>0</v>
      </c>
      <c r="M52" s="8">
        <f t="shared" si="21"/>
        <v>0</v>
      </c>
      <c r="N52" s="8">
        <f t="shared" si="13"/>
        <v>1.11135237510651</v>
      </c>
      <c r="O52" s="8">
        <f t="shared" si="14"/>
        <v>35.805052740753</v>
      </c>
      <c r="P52" s="8">
        <f t="shared" si="15"/>
        <v>1.07816737801905</v>
      </c>
      <c r="Q52" s="8">
        <f t="shared" si="16"/>
        <v>5.20183193355102</v>
      </c>
    </row>
    <row r="53" spans="1:17">
      <c r="B53" s="8" t="s">
        <v>205</v>
      </c>
      <c r="C53" s="8" t="s">
        <v>200</v>
      </c>
      <c r="D53" s="8">
        <f t="shared" ref="D53:M53" si="22">SUM(D38:D43)</f>
        <v>0</v>
      </c>
      <c r="E53" s="8">
        <f t="shared" si="22"/>
        <v>14.738249371597</v>
      </c>
      <c r="F53" s="8">
        <f t="shared" si="22"/>
        <v>0</v>
      </c>
      <c r="G53" s="8">
        <f t="shared" si="22"/>
        <v>36.0635201392547</v>
      </c>
      <c r="H53" s="8">
        <f t="shared" si="22"/>
        <v>0</v>
      </c>
      <c r="I53" s="8">
        <f t="shared" si="22"/>
        <v>10.2198820145586</v>
      </c>
      <c r="J53" s="8">
        <f t="shared" si="22"/>
        <v>41.3092149969943</v>
      </c>
      <c r="K53" s="8">
        <f t="shared" si="22"/>
        <v>262.625181580755</v>
      </c>
      <c r="L53" s="8">
        <f t="shared" si="22"/>
        <v>212.203604824107</v>
      </c>
      <c r="M53" s="8">
        <f t="shared" si="22"/>
        <v>104.393397151314</v>
      </c>
      <c r="N53" s="8">
        <f t="shared" si="13"/>
        <v>10.1603539021703</v>
      </c>
      <c r="O53" s="8">
        <f t="shared" si="14"/>
        <v>126.150256113546</v>
      </c>
      <c r="P53" s="8">
        <f t="shared" si="15"/>
        <v>3.48031087158947</v>
      </c>
      <c r="Q53" s="8">
        <f t="shared" si="16"/>
        <v>6.99039055776712</v>
      </c>
    </row>
    <row r="54" spans="1:17">
      <c r="B54" s="8" t="s">
        <v>205</v>
      </c>
      <c r="C54" s="8" t="s">
        <v>201</v>
      </c>
      <c r="D54" s="8">
        <f t="shared" ref="D54:M54" si="23">D44</f>
        <v>0</v>
      </c>
      <c r="E54" s="8">
        <f t="shared" si="23"/>
        <v>0</v>
      </c>
      <c r="F54" s="8">
        <f t="shared" si="23"/>
        <v>14.9087992246054</v>
      </c>
      <c r="G54" s="8">
        <f t="shared" si="23"/>
        <v>4.26381065228366</v>
      </c>
      <c r="H54" s="8">
        <f t="shared" si="23"/>
        <v>0</v>
      </c>
      <c r="I54" s="8">
        <f t="shared" si="23"/>
        <v>66.102037962687</v>
      </c>
      <c r="J54" s="8">
        <f t="shared" si="23"/>
        <v>17.6713830090264</v>
      </c>
      <c r="K54" s="8">
        <f t="shared" si="23"/>
        <v>154.844350049846</v>
      </c>
      <c r="L54" s="8">
        <f t="shared" si="23"/>
        <v>63.3234628172027</v>
      </c>
      <c r="M54" s="8">
        <f t="shared" si="23"/>
        <v>83.1817768453399</v>
      </c>
      <c r="N54" s="8">
        <f t="shared" si="13"/>
        <v>3.83452197537781</v>
      </c>
      <c r="O54" s="8">
        <f t="shared" si="14"/>
        <v>77.0246021368204</v>
      </c>
      <c r="P54" s="8">
        <f t="shared" si="15"/>
        <v>2.27337324692119</v>
      </c>
      <c r="Q54" s="8">
        <f t="shared" si="16"/>
        <v>6.28585719045768</v>
      </c>
    </row>
    <row r="57" spans="1:17">
      <c r="A57" s="8" t="s">
        <v>206</v>
      </c>
      <c r="B57" s="14" t="s">
        <v>188</v>
      </c>
      <c r="C57" s="8" t="s">
        <v>189</v>
      </c>
      <c r="D57" s="8">
        <v>209.052746086147</v>
      </c>
      <c r="E57" s="8">
        <v>0</v>
      </c>
      <c r="F57" s="8">
        <v>0</v>
      </c>
      <c r="G57" s="8">
        <v>33.1908058514783</v>
      </c>
      <c r="H57" s="8">
        <v>0</v>
      </c>
      <c r="I57" s="8">
        <v>0</v>
      </c>
      <c r="J57" s="8">
        <v>0</v>
      </c>
      <c r="K57" s="8">
        <v>0</v>
      </c>
      <c r="L57" s="8">
        <v>12.7164060802086</v>
      </c>
      <c r="M57" s="8">
        <v>0</v>
      </c>
    </row>
    <row r="58" spans="1:17">
      <c r="A58" s="8" t="s">
        <v>206</v>
      </c>
      <c r="B58" s="14" t="s">
        <v>190</v>
      </c>
      <c r="C58" s="8" t="s">
        <v>191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7">
      <c r="A59" s="8" t="s">
        <v>206</v>
      </c>
      <c r="B59" s="14" t="s">
        <v>192</v>
      </c>
      <c r="C59" s="8" t="s">
        <v>193</v>
      </c>
      <c r="D59" s="8">
        <v>0</v>
      </c>
      <c r="E59" s="8">
        <v>9.31319475599422</v>
      </c>
      <c r="F59" s="8">
        <v>0</v>
      </c>
      <c r="G59" s="8">
        <v>90.0709918304913</v>
      </c>
      <c r="H59" s="8">
        <v>0</v>
      </c>
      <c r="I59" s="8">
        <v>0</v>
      </c>
      <c r="J59" s="8">
        <v>0</v>
      </c>
      <c r="K59" s="8">
        <v>0</v>
      </c>
      <c r="L59" s="8">
        <v>2.64191441846681</v>
      </c>
      <c r="M59" s="8">
        <v>7.162222593889</v>
      </c>
    </row>
    <row r="60" spans="1:17">
      <c r="A60" s="8" t="s">
        <v>206</v>
      </c>
      <c r="B60" s="14" t="s">
        <v>192</v>
      </c>
      <c r="C60" s="8" t="s">
        <v>194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7">
      <c r="A61" s="8" t="s">
        <v>206</v>
      </c>
      <c r="B61" s="14" t="s">
        <v>195</v>
      </c>
      <c r="C61" s="8" t="s">
        <v>196</v>
      </c>
      <c r="D61" s="8">
        <v>0</v>
      </c>
      <c r="E61" s="8">
        <v>0</v>
      </c>
      <c r="F61" s="8">
        <v>0</v>
      </c>
      <c r="G61" s="8">
        <v>16.3306105714646</v>
      </c>
      <c r="H61" s="8">
        <v>0</v>
      </c>
      <c r="I61" s="8">
        <v>0</v>
      </c>
      <c r="J61" s="8">
        <v>0</v>
      </c>
      <c r="K61" s="8">
        <v>0</v>
      </c>
      <c r="L61" s="8">
        <v>1.33447374077524</v>
      </c>
      <c r="M61" s="8">
        <v>0</v>
      </c>
    </row>
    <row r="62" spans="1:17">
      <c r="A62" s="8" t="s">
        <v>206</v>
      </c>
      <c r="B62" s="14" t="s">
        <v>195</v>
      </c>
      <c r="C62" s="8" t="s">
        <v>197</v>
      </c>
      <c r="D62" s="8">
        <v>21.1442347105659</v>
      </c>
      <c r="E62" s="8">
        <v>15.8747688630316</v>
      </c>
      <c r="F62" s="8">
        <v>0</v>
      </c>
      <c r="G62" s="8">
        <v>175.753998647712</v>
      </c>
      <c r="H62" s="8">
        <v>16.5096708557963</v>
      </c>
      <c r="I62" s="8">
        <v>0</v>
      </c>
      <c r="J62" s="8">
        <v>0</v>
      </c>
      <c r="K62" s="8">
        <v>0</v>
      </c>
      <c r="L62" s="8">
        <v>4.64876908325707</v>
      </c>
      <c r="M62" s="8">
        <v>0</v>
      </c>
    </row>
    <row r="63" spans="1:17">
      <c r="A63" s="8" t="s">
        <v>206</v>
      </c>
      <c r="B63" s="14" t="s">
        <v>198</v>
      </c>
      <c r="C63" s="8" t="s">
        <v>199</v>
      </c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7">
      <c r="A64" s="8" t="s">
        <v>206</v>
      </c>
      <c r="B64" s="14" t="s">
        <v>36</v>
      </c>
      <c r="C64" s="8" t="s">
        <v>130</v>
      </c>
      <c r="D64" s="8">
        <v>0</v>
      </c>
      <c r="E64" s="8">
        <v>0</v>
      </c>
      <c r="F64" s="8">
        <v>0.673801438114826</v>
      </c>
      <c r="G64" s="8">
        <v>0</v>
      </c>
      <c r="H64" s="8">
        <v>0</v>
      </c>
      <c r="I64" s="8">
        <v>0</v>
      </c>
      <c r="J64" s="8">
        <v>83.6602152173086</v>
      </c>
      <c r="K64" s="8">
        <v>0</v>
      </c>
      <c r="L64" s="8">
        <v>0</v>
      </c>
      <c r="M64" s="8">
        <v>0</v>
      </c>
    </row>
    <row r="65" spans="1:17">
      <c r="A65" s="8" t="s">
        <v>206</v>
      </c>
      <c r="B65" s="14" t="s">
        <v>200</v>
      </c>
      <c r="C65" s="8" t="s">
        <v>97</v>
      </c>
      <c r="D65" s="8">
        <v>0</v>
      </c>
      <c r="E65" s="8">
        <v>2.02591164449503</v>
      </c>
      <c r="F65" s="8">
        <v>0</v>
      </c>
      <c r="G65" s="8">
        <v>2.25687128649328</v>
      </c>
      <c r="H65" s="8">
        <v>4.20732037640198</v>
      </c>
      <c r="I65" s="8">
        <v>47.5462332695985</v>
      </c>
      <c r="J65" s="8">
        <v>3.44749809563846</v>
      </c>
      <c r="K65" s="8">
        <v>72.0360675055175</v>
      </c>
      <c r="L65" s="8">
        <v>24.2762769744506</v>
      </c>
      <c r="M65" s="8">
        <v>52.9304083515209</v>
      </c>
    </row>
    <row r="66" spans="1:17">
      <c r="A66" s="8" t="s">
        <v>206</v>
      </c>
      <c r="B66" s="14" t="s">
        <v>200</v>
      </c>
      <c r="C66" s="8" t="s">
        <v>98</v>
      </c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7">
      <c r="A67" s="8" t="s">
        <v>206</v>
      </c>
      <c r="B67" s="14" t="s">
        <v>200</v>
      </c>
      <c r="C67" s="8" t="s">
        <v>95</v>
      </c>
      <c r="D67" s="8">
        <v>0</v>
      </c>
      <c r="E67" s="8">
        <v>7.85015826955738</v>
      </c>
      <c r="F67" s="8">
        <v>16.7790284873814</v>
      </c>
      <c r="G67" s="8">
        <v>9.74061415317808</v>
      </c>
      <c r="H67" s="8">
        <v>245.958306408258</v>
      </c>
      <c r="I67" s="8">
        <v>16.4841928203189</v>
      </c>
      <c r="J67" s="8">
        <v>12.7647217958844</v>
      </c>
      <c r="K67" s="8">
        <v>34.2638410361065</v>
      </c>
      <c r="L67" s="8">
        <v>20.6242705299459</v>
      </c>
      <c r="M67" s="8">
        <v>83.9877376841576</v>
      </c>
    </row>
    <row r="68" spans="1:17">
      <c r="A68" s="8" t="s">
        <v>206</v>
      </c>
      <c r="B68" s="14" t="s">
        <v>200</v>
      </c>
      <c r="C68" s="8" t="s">
        <v>93</v>
      </c>
      <c r="D68" s="8">
        <v>0</v>
      </c>
      <c r="E68" s="8">
        <v>4.76141191871502</v>
      </c>
      <c r="F68" s="8">
        <v>0</v>
      </c>
      <c r="G68" s="8">
        <v>2.64727513056614</v>
      </c>
      <c r="H68" s="8">
        <v>0</v>
      </c>
      <c r="I68" s="8">
        <v>0</v>
      </c>
      <c r="J68" s="8">
        <v>2.89581371830017</v>
      </c>
      <c r="K68" s="8">
        <v>7.83929523588733</v>
      </c>
      <c r="L68" s="8">
        <v>28.3308858600505</v>
      </c>
      <c r="M68" s="8">
        <v>18.8069881937323</v>
      </c>
    </row>
    <row r="69" spans="1:17">
      <c r="A69" s="8" t="s">
        <v>206</v>
      </c>
      <c r="B69" s="14" t="s">
        <v>200</v>
      </c>
      <c r="C69" s="8" t="s">
        <v>96</v>
      </c>
      <c r="D69" s="8">
        <v>0</v>
      </c>
      <c r="E69" s="8">
        <v>6.87039162116168</v>
      </c>
      <c r="F69" s="8">
        <v>0</v>
      </c>
      <c r="G69" s="8">
        <v>6.37831897958866</v>
      </c>
      <c r="H69" s="8">
        <v>0</v>
      </c>
      <c r="I69" s="8">
        <v>89.3141015478488</v>
      </c>
      <c r="J69" s="8">
        <v>1.4224611184895</v>
      </c>
      <c r="K69" s="8">
        <v>37.5737090348767</v>
      </c>
      <c r="L69" s="8">
        <v>12.2752770712209</v>
      </c>
      <c r="M69" s="8">
        <v>27.5544024203017</v>
      </c>
    </row>
    <row r="70" spans="1:17">
      <c r="A70" s="8" t="s">
        <v>206</v>
      </c>
      <c r="B70" s="14" t="s">
        <v>200</v>
      </c>
      <c r="C70" s="8" t="s">
        <v>94</v>
      </c>
      <c r="D70" s="8">
        <v>0</v>
      </c>
      <c r="E70" s="8">
        <v>7.68666123125105</v>
      </c>
      <c r="F70" s="8">
        <v>5.84836711715804</v>
      </c>
      <c r="G70" s="8">
        <v>8.18922330209699</v>
      </c>
      <c r="H70" s="8">
        <v>0</v>
      </c>
      <c r="I70" s="8">
        <v>41.3732587569632</v>
      </c>
      <c r="J70" s="8">
        <v>0</v>
      </c>
      <c r="K70" s="8">
        <v>61.9363468517528</v>
      </c>
      <c r="L70" s="8">
        <v>52.2296637338228</v>
      </c>
      <c r="M70" s="8">
        <v>27.4251563589432</v>
      </c>
    </row>
    <row r="71" spans="1:17">
      <c r="A71" s="8" t="s">
        <v>206</v>
      </c>
      <c r="B71" s="14" t="s">
        <v>201</v>
      </c>
      <c r="C71" s="8" t="s">
        <v>202</v>
      </c>
      <c r="D71" s="8">
        <v>0</v>
      </c>
      <c r="E71" s="8">
        <v>8.69234300567604</v>
      </c>
      <c r="F71" s="8">
        <v>1.16967343462767</v>
      </c>
      <c r="G71" s="8">
        <v>8.21626426819704</v>
      </c>
      <c r="H71" s="8">
        <v>36.8052343240577</v>
      </c>
      <c r="I71" s="8">
        <v>28.2989935917326</v>
      </c>
      <c r="J71" s="8">
        <v>103.905081385868</v>
      </c>
      <c r="K71" s="8">
        <v>79.8374127044639</v>
      </c>
      <c r="L71" s="8">
        <v>75.1469337692682</v>
      </c>
      <c r="M71" s="8">
        <v>106.709668402074</v>
      </c>
    </row>
    <row r="73" spans="1:17">
      <c r="N73" s="11" t="s">
        <v>203</v>
      </c>
      <c r="O73" s="11" t="s">
        <v>203</v>
      </c>
      <c r="P73" s="11" t="s">
        <v>204</v>
      </c>
      <c r="Q73" s="11" t="s">
        <v>204</v>
      </c>
    </row>
    <row r="74" spans="1:17">
      <c r="B74" s="8" t="s">
        <v>206</v>
      </c>
      <c r="C74" s="8" t="s">
        <v>188</v>
      </c>
      <c r="D74" s="8">
        <f t="shared" ref="D74:M74" si="24">D57</f>
        <v>209.052746086147</v>
      </c>
      <c r="E74" s="8">
        <f t="shared" si="24"/>
        <v>0</v>
      </c>
      <c r="F74" s="8">
        <f t="shared" si="24"/>
        <v>0</v>
      </c>
      <c r="G74" s="8">
        <f t="shared" si="24"/>
        <v>33.1908058514783</v>
      </c>
      <c r="H74" s="8">
        <f t="shared" si="24"/>
        <v>0</v>
      </c>
      <c r="I74" s="8">
        <f t="shared" si="24"/>
        <v>0</v>
      </c>
      <c r="J74" s="8">
        <f t="shared" si="24"/>
        <v>0</v>
      </c>
      <c r="K74" s="8">
        <f t="shared" si="24"/>
        <v>0</v>
      </c>
      <c r="L74" s="8">
        <f t="shared" si="24"/>
        <v>12.7164060802086</v>
      </c>
      <c r="M74" s="8">
        <f t="shared" si="24"/>
        <v>0</v>
      </c>
      <c r="N74" s="8">
        <f t="shared" ref="N74:N81" si="25">AVERAGE(D74:H74)</f>
        <v>48.4487103875251</v>
      </c>
      <c r="O74" s="8">
        <f t="shared" ref="O74:O81" si="26">AVERAGE(I74:M74)</f>
        <v>2.54328121604173</v>
      </c>
      <c r="P74" s="8">
        <f t="shared" ref="P74:P81" si="27">LOG(N74+1,2)</f>
        <v>5.62786099116431</v>
      </c>
      <c r="Q74" s="8">
        <f t="shared" ref="Q74:Q81" si="28">LOG(O74+1,2)</f>
        <v>1.82508597092861</v>
      </c>
    </row>
    <row r="75" spans="1:17">
      <c r="B75" s="8" t="s">
        <v>206</v>
      </c>
      <c r="C75" s="8" t="s">
        <v>190</v>
      </c>
      <c r="D75" s="8">
        <f t="shared" ref="D75:M75" si="29">D58</f>
        <v>0</v>
      </c>
      <c r="E75" s="8">
        <f t="shared" si="29"/>
        <v>0</v>
      </c>
      <c r="F75" s="8">
        <f t="shared" si="29"/>
        <v>0</v>
      </c>
      <c r="G75" s="8">
        <f t="shared" si="29"/>
        <v>0</v>
      </c>
      <c r="H75" s="8">
        <f t="shared" si="29"/>
        <v>0</v>
      </c>
      <c r="I75" s="8">
        <f t="shared" si="29"/>
        <v>0</v>
      </c>
      <c r="J75" s="8">
        <f t="shared" si="29"/>
        <v>0</v>
      </c>
      <c r="K75" s="8">
        <f t="shared" si="29"/>
        <v>0</v>
      </c>
      <c r="L75" s="8">
        <f t="shared" si="29"/>
        <v>0</v>
      </c>
      <c r="M75" s="8">
        <f t="shared" si="29"/>
        <v>0</v>
      </c>
      <c r="N75" s="8">
        <f t="shared" si="25"/>
        <v>0</v>
      </c>
      <c r="O75" s="8">
        <f t="shared" si="26"/>
        <v>0</v>
      </c>
      <c r="P75" s="8">
        <f t="shared" si="27"/>
        <v>0</v>
      </c>
      <c r="Q75" s="8">
        <f t="shared" si="28"/>
        <v>0</v>
      </c>
    </row>
    <row r="76" spans="1:17">
      <c r="B76" s="8" t="s">
        <v>206</v>
      </c>
      <c r="C76" s="8" t="s">
        <v>192</v>
      </c>
      <c r="D76" s="8">
        <f t="shared" ref="D76:M76" si="30">D59+D60</f>
        <v>0</v>
      </c>
      <c r="E76" s="8">
        <f t="shared" si="30"/>
        <v>9.31319475599422</v>
      </c>
      <c r="F76" s="8">
        <f t="shared" si="30"/>
        <v>0</v>
      </c>
      <c r="G76" s="8">
        <f t="shared" si="30"/>
        <v>90.0709918304913</v>
      </c>
      <c r="H76" s="8">
        <f t="shared" si="30"/>
        <v>0</v>
      </c>
      <c r="I76" s="8">
        <f t="shared" si="30"/>
        <v>0</v>
      </c>
      <c r="J76" s="8">
        <f t="shared" si="30"/>
        <v>0</v>
      </c>
      <c r="K76" s="8">
        <f t="shared" si="30"/>
        <v>0</v>
      </c>
      <c r="L76" s="8">
        <f t="shared" si="30"/>
        <v>2.64191441846681</v>
      </c>
      <c r="M76" s="8">
        <f t="shared" si="30"/>
        <v>7.162222593889</v>
      </c>
      <c r="N76" s="8">
        <f t="shared" si="25"/>
        <v>19.8768373172971</v>
      </c>
      <c r="O76" s="8">
        <f t="shared" si="26"/>
        <v>1.96082740247116</v>
      </c>
      <c r="P76" s="8">
        <f t="shared" si="27"/>
        <v>4.3838312659787</v>
      </c>
      <c r="Q76" s="8">
        <f t="shared" si="28"/>
        <v>1.56600039296177</v>
      </c>
    </row>
    <row r="77" spans="1:17">
      <c r="B77" s="8" t="s">
        <v>206</v>
      </c>
      <c r="C77" s="8" t="s">
        <v>195</v>
      </c>
      <c r="D77" s="8">
        <f t="shared" ref="D77:M77" si="31">SUM(D61:D62)</f>
        <v>21.1442347105659</v>
      </c>
      <c r="E77" s="8">
        <f t="shared" si="31"/>
        <v>15.8747688630316</v>
      </c>
      <c r="F77" s="8">
        <f t="shared" si="31"/>
        <v>0</v>
      </c>
      <c r="G77" s="8">
        <f t="shared" si="31"/>
        <v>192.084609219177</v>
      </c>
      <c r="H77" s="8">
        <f t="shared" si="31"/>
        <v>16.5096708557963</v>
      </c>
      <c r="I77" s="8">
        <f t="shared" si="31"/>
        <v>0</v>
      </c>
      <c r="J77" s="8">
        <f t="shared" si="31"/>
        <v>0</v>
      </c>
      <c r="K77" s="8">
        <f t="shared" si="31"/>
        <v>0</v>
      </c>
      <c r="L77" s="8">
        <f t="shared" si="31"/>
        <v>5.9832428240323</v>
      </c>
      <c r="M77" s="8">
        <f t="shared" si="31"/>
        <v>0</v>
      </c>
      <c r="N77" s="8">
        <f t="shared" si="25"/>
        <v>49.1226567297141</v>
      </c>
      <c r="O77" s="8">
        <f t="shared" si="26"/>
        <v>1.19664856480646</v>
      </c>
      <c r="P77" s="8">
        <f t="shared" si="27"/>
        <v>5.6473909809997</v>
      </c>
      <c r="Q77" s="8">
        <f t="shared" si="28"/>
        <v>1.1353040757846</v>
      </c>
    </row>
    <row r="78" spans="1:17">
      <c r="B78" s="8" t="s">
        <v>206</v>
      </c>
      <c r="C78" s="8" t="s">
        <v>198</v>
      </c>
      <c r="D78" s="8">
        <f t="shared" ref="D78:M78" si="32">D63</f>
        <v>0</v>
      </c>
      <c r="E78" s="8">
        <f t="shared" si="32"/>
        <v>0</v>
      </c>
      <c r="F78" s="8">
        <f t="shared" si="32"/>
        <v>0</v>
      </c>
      <c r="G78" s="8">
        <f t="shared" si="32"/>
        <v>0</v>
      </c>
      <c r="H78" s="8">
        <f t="shared" si="32"/>
        <v>0</v>
      </c>
      <c r="I78" s="8">
        <f t="shared" si="32"/>
        <v>0</v>
      </c>
      <c r="J78" s="8">
        <f t="shared" si="32"/>
        <v>0</v>
      </c>
      <c r="K78" s="8">
        <f t="shared" si="32"/>
        <v>0</v>
      </c>
      <c r="L78" s="8">
        <f t="shared" si="32"/>
        <v>0</v>
      </c>
      <c r="M78" s="8">
        <f t="shared" si="32"/>
        <v>0</v>
      </c>
      <c r="N78" s="8">
        <f t="shared" si="25"/>
        <v>0</v>
      </c>
      <c r="O78" s="8">
        <f t="shared" si="26"/>
        <v>0</v>
      </c>
      <c r="P78" s="8">
        <f t="shared" si="27"/>
        <v>0</v>
      </c>
      <c r="Q78" s="8">
        <f t="shared" si="28"/>
        <v>0</v>
      </c>
    </row>
    <row r="79" spans="1:17">
      <c r="B79" s="8" t="s">
        <v>206</v>
      </c>
      <c r="C79" s="8" t="s">
        <v>36</v>
      </c>
      <c r="D79" s="8">
        <f t="shared" ref="D79:M79" si="33">D64</f>
        <v>0</v>
      </c>
      <c r="E79" s="8">
        <f t="shared" si="33"/>
        <v>0</v>
      </c>
      <c r="F79" s="8">
        <f t="shared" si="33"/>
        <v>0.673801438114826</v>
      </c>
      <c r="G79" s="8">
        <f t="shared" si="33"/>
        <v>0</v>
      </c>
      <c r="H79" s="8">
        <f t="shared" si="33"/>
        <v>0</v>
      </c>
      <c r="I79" s="8">
        <f t="shared" si="33"/>
        <v>0</v>
      </c>
      <c r="J79" s="8">
        <f t="shared" si="33"/>
        <v>83.6602152173086</v>
      </c>
      <c r="K79" s="8">
        <f t="shared" si="33"/>
        <v>0</v>
      </c>
      <c r="L79" s="8">
        <f t="shared" si="33"/>
        <v>0</v>
      </c>
      <c r="M79" s="8">
        <f t="shared" si="33"/>
        <v>0</v>
      </c>
      <c r="N79" s="8">
        <f t="shared" si="25"/>
        <v>0.134760287622965</v>
      </c>
      <c r="O79" s="8">
        <f t="shared" si="26"/>
        <v>16.7320430434617</v>
      </c>
      <c r="P79" s="8">
        <f t="shared" si="27"/>
        <v>0.182387567663651</v>
      </c>
      <c r="Q79" s="8">
        <f t="shared" si="28"/>
        <v>4.14828686456236</v>
      </c>
    </row>
    <row r="80" spans="1:17">
      <c r="B80" s="8" t="s">
        <v>206</v>
      </c>
      <c r="C80" s="8" t="s">
        <v>200</v>
      </c>
      <c r="D80" s="8">
        <f t="shared" ref="D80:M80" si="34">SUM(D65:D70)</f>
        <v>0</v>
      </c>
      <c r="E80" s="8">
        <f t="shared" si="34"/>
        <v>29.1945346851802</v>
      </c>
      <c r="F80" s="8">
        <f t="shared" si="34"/>
        <v>22.6273956045394</v>
      </c>
      <c r="G80" s="8">
        <f t="shared" si="34"/>
        <v>29.2123028519232</v>
      </c>
      <c r="H80" s="8">
        <f t="shared" si="34"/>
        <v>250.16562678466</v>
      </c>
      <c r="I80" s="8">
        <f t="shared" si="34"/>
        <v>194.717786394729</v>
      </c>
      <c r="J80" s="8">
        <f t="shared" si="34"/>
        <v>20.5304947283125</v>
      </c>
      <c r="K80" s="8">
        <f t="shared" si="34"/>
        <v>213.649259664141</v>
      </c>
      <c r="L80" s="8">
        <f t="shared" si="34"/>
        <v>137.736374169491</v>
      </c>
      <c r="M80" s="8">
        <f t="shared" si="34"/>
        <v>210.704693008656</v>
      </c>
      <c r="N80" s="8">
        <f t="shared" si="25"/>
        <v>66.2399719852606</v>
      </c>
      <c r="O80" s="8">
        <f t="shared" si="26"/>
        <v>155.467721593066</v>
      </c>
      <c r="P80" s="8">
        <f t="shared" si="27"/>
        <v>6.07124721837974</v>
      </c>
      <c r="Q80" s="8">
        <f t="shared" si="28"/>
        <v>7.28972125779122</v>
      </c>
    </row>
    <row r="81" spans="1:17">
      <c r="B81" s="8" t="s">
        <v>206</v>
      </c>
      <c r="C81" s="8" t="s">
        <v>201</v>
      </c>
      <c r="D81" s="8">
        <f t="shared" ref="D81:M81" si="35">D71</f>
        <v>0</v>
      </c>
      <c r="E81" s="8">
        <f t="shared" si="35"/>
        <v>8.69234300567604</v>
      </c>
      <c r="F81" s="8">
        <f t="shared" si="35"/>
        <v>1.16967343462767</v>
      </c>
      <c r="G81" s="8">
        <f t="shared" si="35"/>
        <v>8.21626426819704</v>
      </c>
      <c r="H81" s="8">
        <f t="shared" si="35"/>
        <v>36.8052343240577</v>
      </c>
      <c r="I81" s="8">
        <f t="shared" si="35"/>
        <v>28.2989935917326</v>
      </c>
      <c r="J81" s="8">
        <f t="shared" si="35"/>
        <v>103.905081385868</v>
      </c>
      <c r="K81" s="8">
        <f t="shared" si="35"/>
        <v>79.8374127044639</v>
      </c>
      <c r="L81" s="8">
        <f t="shared" si="35"/>
        <v>75.1469337692682</v>
      </c>
      <c r="M81" s="8">
        <f t="shared" si="35"/>
        <v>106.709668402074</v>
      </c>
      <c r="N81" s="8">
        <f t="shared" si="25"/>
        <v>10.9767030065117</v>
      </c>
      <c r="O81" s="8">
        <f t="shared" si="26"/>
        <v>78.7796179706812</v>
      </c>
      <c r="P81" s="8">
        <f t="shared" si="27"/>
        <v>3.58215890695421</v>
      </c>
      <c r="Q81" s="8">
        <f t="shared" si="28"/>
        <v>6.31794830990026</v>
      </c>
    </row>
    <row r="84" spans="1:17">
      <c r="A84" s="8" t="s">
        <v>207</v>
      </c>
      <c r="B84" s="14" t="s">
        <v>188</v>
      </c>
      <c r="C84" s="8" t="s">
        <v>189</v>
      </c>
      <c r="D84" s="8">
        <f t="shared" ref="D84:M84" si="36">SUM(D57,D30,D3)</f>
        <v>209.052746086147</v>
      </c>
      <c r="E84" s="8">
        <f t="shared" si="36"/>
        <v>0</v>
      </c>
      <c r="F84" s="8">
        <f t="shared" si="36"/>
        <v>0</v>
      </c>
      <c r="G84" s="8">
        <f t="shared" si="36"/>
        <v>33.1908058514783</v>
      </c>
      <c r="H84" s="8">
        <f t="shared" si="36"/>
        <v>0</v>
      </c>
      <c r="I84" s="8">
        <f t="shared" si="36"/>
        <v>0</v>
      </c>
      <c r="J84" s="8">
        <f t="shared" si="36"/>
        <v>0</v>
      </c>
      <c r="K84" s="8">
        <f t="shared" si="36"/>
        <v>0</v>
      </c>
      <c r="L84" s="8">
        <f t="shared" si="36"/>
        <v>12.7164060802086</v>
      </c>
      <c r="M84" s="8">
        <f t="shared" si="36"/>
        <v>0</v>
      </c>
    </row>
    <row r="85" spans="1:17">
      <c r="A85" s="8" t="s">
        <v>207</v>
      </c>
      <c r="B85" s="14" t="s">
        <v>190</v>
      </c>
      <c r="C85" s="8" t="s">
        <v>191</v>
      </c>
      <c r="D85" s="8">
        <f t="shared" ref="D85:M85" si="37">SUM(D58,D31,D4)</f>
        <v>422.001864379458</v>
      </c>
      <c r="E85" s="8">
        <f t="shared" si="37"/>
        <v>0</v>
      </c>
      <c r="F85" s="8">
        <f t="shared" si="37"/>
        <v>0</v>
      </c>
      <c r="G85" s="8">
        <f t="shared" si="37"/>
        <v>76.8000288585216</v>
      </c>
      <c r="H85" s="8">
        <f t="shared" si="37"/>
        <v>0</v>
      </c>
      <c r="I85" s="8">
        <f t="shared" si="37"/>
        <v>0</v>
      </c>
      <c r="J85" s="8">
        <f t="shared" si="37"/>
        <v>2.52577662559396</v>
      </c>
      <c r="K85" s="8">
        <f t="shared" si="37"/>
        <v>0</v>
      </c>
      <c r="L85" s="8">
        <f t="shared" si="37"/>
        <v>3.46226294399437</v>
      </c>
      <c r="M85" s="8">
        <f t="shared" si="37"/>
        <v>2.09795963381291</v>
      </c>
    </row>
    <row r="86" spans="1:17">
      <c r="A86" s="8" t="s">
        <v>207</v>
      </c>
      <c r="B86" s="14" t="s">
        <v>192</v>
      </c>
      <c r="C86" s="8" t="s">
        <v>193</v>
      </c>
      <c r="D86" s="8">
        <f t="shared" ref="D86:M86" si="38">SUM(D59,D32,D5)</f>
        <v>0</v>
      </c>
      <c r="E86" s="8">
        <f t="shared" si="38"/>
        <v>19.2916308304036</v>
      </c>
      <c r="F86" s="8">
        <f t="shared" si="38"/>
        <v>0</v>
      </c>
      <c r="G86" s="8">
        <f t="shared" si="38"/>
        <v>132.078116363777</v>
      </c>
      <c r="H86" s="8">
        <f t="shared" si="38"/>
        <v>0</v>
      </c>
      <c r="I86" s="8">
        <f t="shared" si="38"/>
        <v>0</v>
      </c>
      <c r="J86" s="8">
        <f t="shared" si="38"/>
        <v>0</v>
      </c>
      <c r="K86" s="8">
        <f t="shared" si="38"/>
        <v>0</v>
      </c>
      <c r="L86" s="8">
        <f t="shared" si="38"/>
        <v>4.03681105580691</v>
      </c>
      <c r="M86" s="8">
        <f t="shared" si="38"/>
        <v>7.162222593889</v>
      </c>
    </row>
    <row r="87" spans="1:17">
      <c r="A87" s="8" t="s">
        <v>207</v>
      </c>
      <c r="B87" s="14" t="s">
        <v>192</v>
      </c>
      <c r="C87" s="8" t="s">
        <v>194</v>
      </c>
      <c r="D87" s="8">
        <f t="shared" ref="D87:M87" si="39">SUM(D60,D33,D6)</f>
        <v>0</v>
      </c>
      <c r="E87" s="8">
        <f t="shared" si="39"/>
        <v>6.65228987753603</v>
      </c>
      <c r="F87" s="8">
        <f t="shared" si="39"/>
        <v>0</v>
      </c>
      <c r="G87" s="8">
        <f t="shared" si="39"/>
        <v>38.5530932609891</v>
      </c>
      <c r="H87" s="8">
        <f t="shared" si="39"/>
        <v>0</v>
      </c>
      <c r="I87" s="8">
        <f t="shared" si="39"/>
        <v>0</v>
      </c>
      <c r="J87" s="8">
        <f t="shared" si="39"/>
        <v>0</v>
      </c>
      <c r="K87" s="8">
        <f t="shared" si="39"/>
        <v>0</v>
      </c>
      <c r="L87" s="8">
        <f t="shared" si="39"/>
        <v>0.946569848362757</v>
      </c>
      <c r="M87" s="8">
        <f t="shared" si="39"/>
        <v>0</v>
      </c>
    </row>
    <row r="88" spans="1:17">
      <c r="A88" s="8" t="s">
        <v>207</v>
      </c>
      <c r="B88" s="14" t="s">
        <v>195</v>
      </c>
      <c r="C88" s="8" t="s">
        <v>196</v>
      </c>
      <c r="D88" s="8">
        <f t="shared" ref="D88:M88" si="40">SUM(D61,D34,D7)</f>
        <v>0</v>
      </c>
      <c r="E88" s="8">
        <f t="shared" si="40"/>
        <v>0</v>
      </c>
      <c r="F88" s="8">
        <f t="shared" si="40"/>
        <v>0</v>
      </c>
      <c r="G88" s="8">
        <f t="shared" si="40"/>
        <v>56.2879090337505</v>
      </c>
      <c r="H88" s="8">
        <f t="shared" si="40"/>
        <v>0</v>
      </c>
      <c r="I88" s="8">
        <f t="shared" si="40"/>
        <v>0</v>
      </c>
      <c r="J88" s="8">
        <f t="shared" si="40"/>
        <v>0</v>
      </c>
      <c r="K88" s="8">
        <f t="shared" si="40"/>
        <v>0</v>
      </c>
      <c r="L88" s="8">
        <f t="shared" si="40"/>
        <v>10.8668717870597</v>
      </c>
      <c r="M88" s="8">
        <f t="shared" si="40"/>
        <v>5.09798583995038</v>
      </c>
    </row>
    <row r="89" spans="1:17">
      <c r="A89" s="8" t="s">
        <v>207</v>
      </c>
      <c r="B89" s="14" t="s">
        <v>195</v>
      </c>
      <c r="C89" s="8" t="s">
        <v>197</v>
      </c>
      <c r="D89" s="8">
        <f t="shared" ref="D89:M89" si="41">SUM(D62,D35,D8)</f>
        <v>21.1442347105659</v>
      </c>
      <c r="E89" s="8">
        <f t="shared" si="41"/>
        <v>15.8747688630316</v>
      </c>
      <c r="F89" s="8">
        <f t="shared" si="41"/>
        <v>0</v>
      </c>
      <c r="G89" s="8">
        <f t="shared" si="41"/>
        <v>219.242675003552</v>
      </c>
      <c r="H89" s="8">
        <f t="shared" si="41"/>
        <v>16.5096708557963</v>
      </c>
      <c r="I89" s="8">
        <f t="shared" si="41"/>
        <v>0</v>
      </c>
      <c r="J89" s="8">
        <f t="shared" si="41"/>
        <v>0</v>
      </c>
      <c r="K89" s="8">
        <f t="shared" si="41"/>
        <v>0</v>
      </c>
      <c r="L89" s="8">
        <f t="shared" si="41"/>
        <v>4.64876908325707</v>
      </c>
      <c r="M89" s="8">
        <f t="shared" si="41"/>
        <v>0</v>
      </c>
    </row>
    <row r="90" spans="1:17">
      <c r="A90" s="8" t="s">
        <v>207</v>
      </c>
      <c r="B90" s="14" t="s">
        <v>198</v>
      </c>
      <c r="C90" s="8" t="s">
        <v>199</v>
      </c>
      <c r="D90" s="8">
        <f t="shared" ref="D90:M90" si="42">SUM(D63,D36,D9)</f>
        <v>0</v>
      </c>
      <c r="E90" s="8">
        <f t="shared" si="42"/>
        <v>0</v>
      </c>
      <c r="F90" s="8">
        <f t="shared" si="42"/>
        <v>0</v>
      </c>
      <c r="G90" s="8">
        <f t="shared" si="42"/>
        <v>12.3195282014899</v>
      </c>
      <c r="H90" s="8">
        <f t="shared" si="42"/>
        <v>0</v>
      </c>
      <c r="I90" s="8">
        <f t="shared" si="42"/>
        <v>0</v>
      </c>
      <c r="J90" s="8">
        <f t="shared" si="42"/>
        <v>0</v>
      </c>
      <c r="K90" s="8">
        <f t="shared" si="42"/>
        <v>0</v>
      </c>
      <c r="L90" s="8">
        <f t="shared" si="42"/>
        <v>0</v>
      </c>
      <c r="M90" s="8">
        <f t="shared" si="42"/>
        <v>9.19537991581931</v>
      </c>
    </row>
    <row r="91" spans="1:17">
      <c r="A91" s="8" t="s">
        <v>207</v>
      </c>
      <c r="B91" s="14" t="s">
        <v>36</v>
      </c>
      <c r="C91" s="8" t="s">
        <v>130</v>
      </c>
      <c r="D91" s="8">
        <f t="shared" ref="D91:M91" si="43">SUM(D64,D37,D10)</f>
        <v>0</v>
      </c>
      <c r="E91" s="8">
        <f t="shared" si="43"/>
        <v>0</v>
      </c>
      <c r="F91" s="8">
        <f t="shared" si="43"/>
        <v>6.23056331364737</v>
      </c>
      <c r="G91" s="8">
        <f t="shared" si="43"/>
        <v>0.661451338489484</v>
      </c>
      <c r="H91" s="8">
        <f t="shared" si="43"/>
        <v>0</v>
      </c>
      <c r="I91" s="8">
        <f t="shared" si="43"/>
        <v>0</v>
      </c>
      <c r="J91" s="8">
        <f t="shared" si="43"/>
        <v>505.318302665915</v>
      </c>
      <c r="K91" s="8">
        <f t="shared" si="43"/>
        <v>0</v>
      </c>
      <c r="L91" s="8">
        <f t="shared" si="43"/>
        <v>0</v>
      </c>
      <c r="M91" s="8">
        <f t="shared" si="43"/>
        <v>13.3194635567506</v>
      </c>
    </row>
    <row r="92" spans="1:17">
      <c r="A92" s="8" t="s">
        <v>207</v>
      </c>
      <c r="B92" s="14" t="s">
        <v>200</v>
      </c>
      <c r="C92" s="8" t="s">
        <v>97</v>
      </c>
      <c r="D92" s="8">
        <f t="shared" ref="D92:M92" si="44">SUM(D65,D38,D11)</f>
        <v>0</v>
      </c>
      <c r="E92" s="8">
        <f t="shared" si="44"/>
        <v>2.02591164449503</v>
      </c>
      <c r="F92" s="8">
        <f t="shared" si="44"/>
        <v>0</v>
      </c>
      <c r="G92" s="8">
        <f t="shared" si="44"/>
        <v>8.98504627660723</v>
      </c>
      <c r="H92" s="8">
        <f t="shared" si="44"/>
        <v>4.20732037640198</v>
      </c>
      <c r="I92" s="8">
        <f t="shared" si="44"/>
        <v>55.9191475301468</v>
      </c>
      <c r="J92" s="8">
        <f t="shared" si="44"/>
        <v>108.710330727616</v>
      </c>
      <c r="K92" s="8">
        <f t="shared" si="44"/>
        <v>198.991972095516</v>
      </c>
      <c r="L92" s="8">
        <f t="shared" si="44"/>
        <v>49.5463323623369</v>
      </c>
      <c r="M92" s="8">
        <f t="shared" si="44"/>
        <v>76.5829901738827</v>
      </c>
    </row>
    <row r="93" spans="1:17">
      <c r="A93" s="8" t="s">
        <v>207</v>
      </c>
      <c r="B93" s="14" t="s">
        <v>200</v>
      </c>
      <c r="C93" s="8" t="s">
        <v>98</v>
      </c>
      <c r="D93" s="8">
        <f t="shared" ref="D93:M93" si="45">SUM(D66,D39,D12)</f>
        <v>0</v>
      </c>
      <c r="E93" s="8">
        <f t="shared" si="45"/>
        <v>14.8950112614998</v>
      </c>
      <c r="F93" s="8">
        <f t="shared" si="45"/>
        <v>0</v>
      </c>
      <c r="G93" s="8">
        <f t="shared" si="45"/>
        <v>42.9050231568688</v>
      </c>
      <c r="H93" s="8">
        <f t="shared" si="45"/>
        <v>5.49352300087086</v>
      </c>
      <c r="I93" s="8">
        <f t="shared" si="45"/>
        <v>60.7784947224702</v>
      </c>
      <c r="J93" s="8">
        <f t="shared" si="45"/>
        <v>0</v>
      </c>
      <c r="K93" s="8">
        <f t="shared" si="45"/>
        <v>84.5129185942986</v>
      </c>
      <c r="L93" s="8">
        <f t="shared" si="45"/>
        <v>84.2728054332503</v>
      </c>
      <c r="M93" s="8">
        <f t="shared" si="45"/>
        <v>122.785968191977</v>
      </c>
    </row>
    <row r="94" spans="1:17">
      <c r="A94" s="8" t="s">
        <v>207</v>
      </c>
      <c r="B94" s="14" t="s">
        <v>200</v>
      </c>
      <c r="C94" s="8" t="s">
        <v>95</v>
      </c>
      <c r="D94" s="8">
        <f t="shared" ref="D94:M94" si="46">SUM(D67,D40,D13)</f>
        <v>0</v>
      </c>
      <c r="E94" s="8">
        <f t="shared" si="46"/>
        <v>7.85015826955738</v>
      </c>
      <c r="F94" s="8">
        <f t="shared" si="46"/>
        <v>16.7790284873814</v>
      </c>
      <c r="G94" s="8">
        <f t="shared" si="46"/>
        <v>13.2842987765755</v>
      </c>
      <c r="H94" s="8">
        <f t="shared" si="46"/>
        <v>245.958306408258</v>
      </c>
      <c r="I94" s="8">
        <f t="shared" si="46"/>
        <v>16.4841928203189</v>
      </c>
      <c r="J94" s="8">
        <f t="shared" si="46"/>
        <v>12.7647217958844</v>
      </c>
      <c r="K94" s="8">
        <f t="shared" si="46"/>
        <v>198.806993121228</v>
      </c>
      <c r="L94" s="8">
        <f t="shared" si="46"/>
        <v>93.9809789093591</v>
      </c>
      <c r="M94" s="8">
        <f t="shared" si="46"/>
        <v>95.6776376841576</v>
      </c>
    </row>
    <row r="95" spans="1:17">
      <c r="A95" s="8" t="s">
        <v>207</v>
      </c>
      <c r="B95" s="14" t="s">
        <v>200</v>
      </c>
      <c r="C95" s="8" t="s">
        <v>93</v>
      </c>
      <c r="D95" s="8">
        <f t="shared" ref="D95:M95" si="47">SUM(D68,D41,D14)</f>
        <v>0</v>
      </c>
      <c r="E95" s="8">
        <f t="shared" si="47"/>
        <v>4.76141191871502</v>
      </c>
      <c r="F95" s="8">
        <f t="shared" si="47"/>
        <v>0</v>
      </c>
      <c r="G95" s="8">
        <f t="shared" si="47"/>
        <v>2.64727513056614</v>
      </c>
      <c r="H95" s="8">
        <f t="shared" si="47"/>
        <v>0</v>
      </c>
      <c r="I95" s="8">
        <f t="shared" si="47"/>
        <v>0</v>
      </c>
      <c r="J95" s="8">
        <f t="shared" si="47"/>
        <v>2.89581371830017</v>
      </c>
      <c r="K95" s="8">
        <f t="shared" si="47"/>
        <v>56.3297746287131</v>
      </c>
      <c r="L95" s="8">
        <f t="shared" si="47"/>
        <v>40.9061420207935</v>
      </c>
      <c r="M95" s="8">
        <f t="shared" si="47"/>
        <v>18.8069881937323</v>
      </c>
    </row>
    <row r="96" spans="1:17">
      <c r="A96" s="8" t="s">
        <v>207</v>
      </c>
      <c r="B96" s="14" t="s">
        <v>200</v>
      </c>
      <c r="C96" s="8" t="s">
        <v>96</v>
      </c>
      <c r="D96" s="8">
        <f t="shared" ref="D96:M96" si="48">SUM(D69,D42,D15)</f>
        <v>0</v>
      </c>
      <c r="E96" s="8">
        <f t="shared" si="48"/>
        <v>30.7555274355795</v>
      </c>
      <c r="F96" s="8">
        <f t="shared" si="48"/>
        <v>0</v>
      </c>
      <c r="G96" s="8">
        <f t="shared" si="48"/>
        <v>19.9689016066229</v>
      </c>
      <c r="H96" s="8">
        <f t="shared" si="48"/>
        <v>0</v>
      </c>
      <c r="I96" s="8">
        <f t="shared" si="48"/>
        <v>89.3141015478488</v>
      </c>
      <c r="J96" s="8">
        <f t="shared" si="48"/>
        <v>1.4224611184895</v>
      </c>
      <c r="K96" s="8">
        <f t="shared" si="48"/>
        <v>59.9113117800569</v>
      </c>
      <c r="L96" s="8">
        <f t="shared" si="48"/>
        <v>143.666024301653</v>
      </c>
      <c r="M96" s="8">
        <f t="shared" si="48"/>
        <v>34.4625247804486</v>
      </c>
    </row>
    <row r="97" spans="1:17">
      <c r="A97" s="8" t="s">
        <v>207</v>
      </c>
      <c r="B97" s="14" t="s">
        <v>200</v>
      </c>
      <c r="C97" s="8" t="s">
        <v>94</v>
      </c>
      <c r="D97" s="8">
        <f t="shared" ref="D97:M97" si="49">SUM(D70,D43,D16)</f>
        <v>0</v>
      </c>
      <c r="E97" s="8">
        <f t="shared" si="49"/>
        <v>7.68666123125105</v>
      </c>
      <c r="F97" s="8">
        <f t="shared" si="49"/>
        <v>17.7320567388143</v>
      </c>
      <c r="G97" s="8">
        <f t="shared" si="49"/>
        <v>13.6146680851742</v>
      </c>
      <c r="H97" s="8">
        <f t="shared" si="49"/>
        <v>0</v>
      </c>
      <c r="I97" s="8">
        <f t="shared" si="49"/>
        <v>48.5646458666644</v>
      </c>
      <c r="J97" s="8">
        <f t="shared" si="49"/>
        <v>0</v>
      </c>
      <c r="K97" s="8">
        <f t="shared" si="49"/>
        <v>99.3055649913667</v>
      </c>
      <c r="L97" s="8">
        <f t="shared" si="49"/>
        <v>95.0908872141742</v>
      </c>
      <c r="M97" s="8">
        <f t="shared" si="49"/>
        <v>53.1386358043102</v>
      </c>
    </row>
    <row r="98" spans="1:17">
      <c r="A98" s="8" t="s">
        <v>207</v>
      </c>
      <c r="B98" s="14" t="s">
        <v>201</v>
      </c>
      <c r="C98" s="8" t="s">
        <v>202</v>
      </c>
      <c r="D98" s="8">
        <f t="shared" ref="D98:M98" si="50">SUM(D71,D44,D17)</f>
        <v>0</v>
      </c>
      <c r="E98" s="8">
        <f t="shared" si="50"/>
        <v>8.69234300567604</v>
      </c>
      <c r="F98" s="8">
        <f t="shared" si="50"/>
        <v>16.0784726592331</v>
      </c>
      <c r="G98" s="8">
        <f t="shared" si="50"/>
        <v>21.653420522562</v>
      </c>
      <c r="H98" s="8">
        <f t="shared" si="50"/>
        <v>36.8052343240577</v>
      </c>
      <c r="I98" s="8">
        <f t="shared" si="50"/>
        <v>114.868181260785</v>
      </c>
      <c r="J98" s="8">
        <f t="shared" si="50"/>
        <v>133.567780959183</v>
      </c>
      <c r="K98" s="8">
        <f t="shared" si="50"/>
        <v>292.939778280102</v>
      </c>
      <c r="L98" s="8">
        <f t="shared" si="50"/>
        <v>179.009649107972</v>
      </c>
      <c r="M98" s="8">
        <f t="shared" si="50"/>
        <v>314.311522440369</v>
      </c>
    </row>
    <row r="100" spans="1:17">
      <c r="N100" s="11" t="s">
        <v>203</v>
      </c>
      <c r="O100" s="11" t="s">
        <v>203</v>
      </c>
      <c r="P100" s="11" t="s">
        <v>204</v>
      </c>
      <c r="Q100" s="11" t="s">
        <v>204</v>
      </c>
    </row>
    <row r="101" spans="1:17">
      <c r="B101" s="8" t="s">
        <v>207</v>
      </c>
      <c r="C101" s="8" t="s">
        <v>188</v>
      </c>
      <c r="D101" s="8">
        <f t="shared" ref="D101:M101" si="51">D84</f>
        <v>209.052746086147</v>
      </c>
      <c r="E101" s="8">
        <f t="shared" si="51"/>
        <v>0</v>
      </c>
      <c r="F101" s="8">
        <f t="shared" si="51"/>
        <v>0</v>
      </c>
      <c r="G101" s="8">
        <f t="shared" si="51"/>
        <v>33.1908058514783</v>
      </c>
      <c r="H101" s="8">
        <f t="shared" si="51"/>
        <v>0</v>
      </c>
      <c r="I101" s="8">
        <f t="shared" si="51"/>
        <v>0</v>
      </c>
      <c r="J101" s="8">
        <f t="shared" si="51"/>
        <v>0</v>
      </c>
      <c r="K101" s="8">
        <f t="shared" si="51"/>
        <v>0</v>
      </c>
      <c r="L101" s="8">
        <f t="shared" si="51"/>
        <v>12.7164060802086</v>
      </c>
      <c r="M101" s="8">
        <f t="shared" si="51"/>
        <v>0</v>
      </c>
      <c r="N101" s="8">
        <f t="shared" ref="N101:N108" si="52">AVERAGE(D101:H101)</f>
        <v>48.4487103875251</v>
      </c>
      <c r="O101" s="8">
        <f t="shared" ref="O101:O108" si="53">AVERAGE(I101:M101)</f>
        <v>2.54328121604172</v>
      </c>
      <c r="P101" s="8">
        <f t="shared" ref="P101:P108" si="54">LOG(N101+1,2)</f>
        <v>5.62786099116431</v>
      </c>
      <c r="Q101" s="8">
        <f t="shared" ref="Q101:Q108" si="55">LOG(O101+1,2)</f>
        <v>1.8250859709286</v>
      </c>
    </row>
    <row r="102" spans="1:17">
      <c r="B102" s="8" t="s">
        <v>207</v>
      </c>
      <c r="C102" s="8" t="s">
        <v>190</v>
      </c>
      <c r="D102" s="8">
        <f t="shared" ref="D102:M102" si="56">D85</f>
        <v>422.001864379458</v>
      </c>
      <c r="E102" s="8">
        <f t="shared" si="56"/>
        <v>0</v>
      </c>
      <c r="F102" s="8">
        <f t="shared" si="56"/>
        <v>0</v>
      </c>
      <c r="G102" s="8">
        <f t="shared" si="56"/>
        <v>76.8000288585216</v>
      </c>
      <c r="H102" s="8">
        <f t="shared" si="56"/>
        <v>0</v>
      </c>
      <c r="I102" s="8">
        <f t="shared" si="56"/>
        <v>0</v>
      </c>
      <c r="J102" s="8">
        <f t="shared" si="56"/>
        <v>2.52577662559396</v>
      </c>
      <c r="K102" s="8">
        <f t="shared" si="56"/>
        <v>0</v>
      </c>
      <c r="L102" s="8">
        <f t="shared" si="56"/>
        <v>3.46226294399437</v>
      </c>
      <c r="M102" s="8">
        <f t="shared" si="56"/>
        <v>2.09795963381291</v>
      </c>
      <c r="N102" s="8">
        <f t="shared" si="52"/>
        <v>99.7603786475958</v>
      </c>
      <c r="O102" s="8">
        <f t="shared" si="53"/>
        <v>1.61719984068025</v>
      </c>
      <c r="P102" s="8">
        <f t="shared" si="54"/>
        <v>6.65478463847582</v>
      </c>
      <c r="Q102" s="8">
        <f t="shared" si="55"/>
        <v>1.38802408798966</v>
      </c>
    </row>
    <row r="103" spans="1:17">
      <c r="B103" s="8" t="s">
        <v>207</v>
      </c>
      <c r="C103" s="8" t="s">
        <v>192</v>
      </c>
      <c r="D103" s="8">
        <f t="shared" ref="D103:M103" si="57">D86+D87</f>
        <v>0</v>
      </c>
      <c r="E103" s="8">
        <f t="shared" si="57"/>
        <v>25.9439207079396</v>
      </c>
      <c r="F103" s="8">
        <f t="shared" si="57"/>
        <v>0</v>
      </c>
      <c r="G103" s="8">
        <f t="shared" si="57"/>
        <v>170.631209624766</v>
      </c>
      <c r="H103" s="8">
        <f t="shared" si="57"/>
        <v>0</v>
      </c>
      <c r="I103" s="8">
        <f t="shared" si="57"/>
        <v>0</v>
      </c>
      <c r="J103" s="8">
        <f t="shared" si="57"/>
        <v>0</v>
      </c>
      <c r="K103" s="8">
        <f t="shared" si="57"/>
        <v>0</v>
      </c>
      <c r="L103" s="8">
        <f t="shared" si="57"/>
        <v>4.98338090416967</v>
      </c>
      <c r="M103" s="8">
        <f t="shared" si="57"/>
        <v>7.162222593889</v>
      </c>
      <c r="N103" s="8">
        <f t="shared" si="52"/>
        <v>39.3150260665412</v>
      </c>
      <c r="O103" s="8">
        <f t="shared" si="53"/>
        <v>2.42912069961173</v>
      </c>
      <c r="P103" s="8">
        <f t="shared" si="54"/>
        <v>5.33324574980198</v>
      </c>
      <c r="Q103" s="8">
        <f t="shared" si="55"/>
        <v>1.7778386857453</v>
      </c>
    </row>
    <row r="104" spans="1:17">
      <c r="B104" s="8" t="s">
        <v>207</v>
      </c>
      <c r="C104" s="8" t="s">
        <v>195</v>
      </c>
      <c r="D104" s="8">
        <f t="shared" ref="D104:M104" si="58">SUM(D88:D89)</f>
        <v>21.1442347105659</v>
      </c>
      <c r="E104" s="8">
        <f t="shared" si="58"/>
        <v>15.8747688630316</v>
      </c>
      <c r="F104" s="8">
        <f t="shared" si="58"/>
        <v>0</v>
      </c>
      <c r="G104" s="8">
        <f t="shared" si="58"/>
        <v>275.530584037302</v>
      </c>
      <c r="H104" s="8">
        <f t="shared" si="58"/>
        <v>16.5096708557963</v>
      </c>
      <c r="I104" s="8">
        <f t="shared" si="58"/>
        <v>0</v>
      </c>
      <c r="J104" s="8">
        <f t="shared" si="58"/>
        <v>0</v>
      </c>
      <c r="K104" s="8">
        <f t="shared" si="58"/>
        <v>0</v>
      </c>
      <c r="L104" s="8">
        <f t="shared" si="58"/>
        <v>15.5156408703168</v>
      </c>
      <c r="M104" s="8">
        <f t="shared" si="58"/>
        <v>5.09798583995038</v>
      </c>
      <c r="N104" s="8">
        <f t="shared" si="52"/>
        <v>65.8118516933392</v>
      </c>
      <c r="O104" s="8">
        <f t="shared" si="53"/>
        <v>4.12272534205343</v>
      </c>
      <c r="P104" s="8">
        <f t="shared" si="54"/>
        <v>6.06203213864334</v>
      </c>
      <c r="Q104" s="8">
        <f t="shared" si="55"/>
        <v>2.35691154291881</v>
      </c>
    </row>
    <row r="105" spans="1:17">
      <c r="B105" s="8" t="s">
        <v>207</v>
      </c>
      <c r="C105" s="8" t="s">
        <v>198</v>
      </c>
      <c r="D105" s="8">
        <f t="shared" ref="D105:M105" si="59">D90</f>
        <v>0</v>
      </c>
      <c r="E105" s="8">
        <f t="shared" si="59"/>
        <v>0</v>
      </c>
      <c r="F105" s="8">
        <f t="shared" si="59"/>
        <v>0</v>
      </c>
      <c r="G105" s="8">
        <f t="shared" si="59"/>
        <v>12.3195282014899</v>
      </c>
      <c r="H105" s="8">
        <f t="shared" si="59"/>
        <v>0</v>
      </c>
      <c r="I105" s="8">
        <f t="shared" si="59"/>
        <v>0</v>
      </c>
      <c r="J105" s="8">
        <f t="shared" si="59"/>
        <v>0</v>
      </c>
      <c r="K105" s="8">
        <f t="shared" si="59"/>
        <v>0</v>
      </c>
      <c r="L105" s="8">
        <f t="shared" si="59"/>
        <v>0</v>
      </c>
      <c r="M105" s="8">
        <f t="shared" si="59"/>
        <v>9.19537991581931</v>
      </c>
      <c r="N105" s="8">
        <f t="shared" si="52"/>
        <v>2.46390564029798</v>
      </c>
      <c r="O105" s="8">
        <f t="shared" si="53"/>
        <v>1.83907598316386</v>
      </c>
      <c r="P105" s="8">
        <f t="shared" si="54"/>
        <v>1.79239963037401</v>
      </c>
      <c r="Q105" s="8">
        <f t="shared" si="55"/>
        <v>1.50542146092098</v>
      </c>
    </row>
    <row r="106" spans="1:17">
      <c r="B106" s="8" t="s">
        <v>207</v>
      </c>
      <c r="C106" s="8" t="s">
        <v>36</v>
      </c>
      <c r="D106" s="8">
        <f t="shared" ref="D106:M106" si="60">D91</f>
        <v>0</v>
      </c>
      <c r="E106" s="8">
        <f t="shared" si="60"/>
        <v>0</v>
      </c>
      <c r="F106" s="8">
        <f t="shared" si="60"/>
        <v>6.23056331364737</v>
      </c>
      <c r="G106" s="8">
        <f t="shared" si="60"/>
        <v>0.661451338489484</v>
      </c>
      <c r="H106" s="8">
        <f t="shared" si="60"/>
        <v>0</v>
      </c>
      <c r="I106" s="8">
        <f t="shared" si="60"/>
        <v>0</v>
      </c>
      <c r="J106" s="8">
        <f t="shared" si="60"/>
        <v>505.318302665915</v>
      </c>
      <c r="K106" s="8">
        <f t="shared" si="60"/>
        <v>0</v>
      </c>
      <c r="L106" s="8">
        <f t="shared" si="60"/>
        <v>0</v>
      </c>
      <c r="M106" s="8">
        <f t="shared" si="60"/>
        <v>13.3194635567506</v>
      </c>
      <c r="N106" s="8">
        <f t="shared" si="52"/>
        <v>1.37840293042737</v>
      </c>
      <c r="O106" s="8">
        <f t="shared" si="53"/>
        <v>103.727553244533</v>
      </c>
      <c r="P106" s="8">
        <f t="shared" si="54"/>
        <v>1.2499931459021</v>
      </c>
      <c r="Q106" s="8">
        <f t="shared" si="55"/>
        <v>6.71049724713097</v>
      </c>
    </row>
    <row r="107" spans="1:17">
      <c r="B107" s="8" t="s">
        <v>207</v>
      </c>
      <c r="C107" s="8" t="s">
        <v>200</v>
      </c>
      <c r="D107" s="8">
        <f t="shared" ref="D107:M107" si="61">SUM(D92:D97)</f>
        <v>0</v>
      </c>
      <c r="E107" s="8">
        <f t="shared" si="61"/>
        <v>67.9746817610978</v>
      </c>
      <c r="F107" s="8">
        <f t="shared" si="61"/>
        <v>34.5110852261956</v>
      </c>
      <c r="G107" s="8">
        <f t="shared" si="61"/>
        <v>101.405213032415</v>
      </c>
      <c r="H107" s="8">
        <f t="shared" si="61"/>
        <v>255.659149785531</v>
      </c>
      <c r="I107" s="8">
        <f t="shared" si="61"/>
        <v>271.060582487449</v>
      </c>
      <c r="J107" s="8">
        <f t="shared" si="61"/>
        <v>125.79332736029</v>
      </c>
      <c r="K107" s="8">
        <f t="shared" si="61"/>
        <v>697.858535211179</v>
      </c>
      <c r="L107" s="8">
        <f t="shared" si="61"/>
        <v>507.463170241567</v>
      </c>
      <c r="M107" s="8">
        <f t="shared" si="61"/>
        <v>401.454744828509</v>
      </c>
      <c r="N107" s="8">
        <f t="shared" si="52"/>
        <v>91.9100259610479</v>
      </c>
      <c r="O107" s="8">
        <f t="shared" si="53"/>
        <v>400.726072025799</v>
      </c>
      <c r="P107" s="8">
        <f t="shared" si="54"/>
        <v>6.53776238174099</v>
      </c>
      <c r="Q107" s="8">
        <f t="shared" si="55"/>
        <v>8.65006828511809</v>
      </c>
    </row>
    <row r="108" spans="1:17">
      <c r="B108" s="8" t="s">
        <v>207</v>
      </c>
      <c r="C108" s="8" t="s">
        <v>201</v>
      </c>
      <c r="D108" s="8">
        <f t="shared" ref="D108:M108" si="62">D98</f>
        <v>0</v>
      </c>
      <c r="E108" s="8">
        <f t="shared" si="62"/>
        <v>8.69234300567604</v>
      </c>
      <c r="F108" s="8">
        <f t="shared" si="62"/>
        <v>16.0784726592331</v>
      </c>
      <c r="G108" s="8">
        <f t="shared" si="62"/>
        <v>21.653420522562</v>
      </c>
      <c r="H108" s="8">
        <f t="shared" si="62"/>
        <v>36.8052343240577</v>
      </c>
      <c r="I108" s="8">
        <f t="shared" si="62"/>
        <v>114.868181260785</v>
      </c>
      <c r="J108" s="8">
        <f t="shared" si="62"/>
        <v>133.567780959183</v>
      </c>
      <c r="K108" s="8">
        <f t="shared" si="62"/>
        <v>292.939778280102</v>
      </c>
      <c r="L108" s="8">
        <f t="shared" si="62"/>
        <v>179.009649107972</v>
      </c>
      <c r="M108" s="8">
        <f t="shared" si="62"/>
        <v>314.311522440369</v>
      </c>
      <c r="N108" s="8">
        <f t="shared" si="52"/>
        <v>16.6458941023058</v>
      </c>
      <c r="O108" s="8">
        <f t="shared" si="53"/>
        <v>206.939382409682</v>
      </c>
      <c r="P108" s="8">
        <f t="shared" si="54"/>
        <v>4.14126062697624</v>
      </c>
      <c r="Q108" s="8">
        <f t="shared" si="55"/>
        <v>7.70001921120542</v>
      </c>
    </row>
    <row r="111" spans="1:17">
      <c r="A111" s="8" t="s">
        <v>208</v>
      </c>
      <c r="B111" s="8" t="s">
        <v>188</v>
      </c>
      <c r="C111" s="8" t="s">
        <v>189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7">
      <c r="A112" s="8" t="s">
        <v>208</v>
      </c>
      <c r="B112" s="8" t="s">
        <v>190</v>
      </c>
      <c r="C112" s="8" t="s">
        <v>191</v>
      </c>
      <c r="D112" s="8">
        <v>0</v>
      </c>
      <c r="E112" s="8">
        <v>0</v>
      </c>
      <c r="F112" s="8">
        <v>0</v>
      </c>
      <c r="G112" s="8">
        <v>2.08272440684181</v>
      </c>
      <c r="H112" s="8">
        <v>0</v>
      </c>
      <c r="I112" s="8">
        <v>0</v>
      </c>
      <c r="J112" s="8">
        <v>0</v>
      </c>
      <c r="K112" s="8">
        <v>0</v>
      </c>
      <c r="L112" s="8">
        <v>0.714936061878109</v>
      </c>
      <c r="M112" s="8">
        <v>0</v>
      </c>
    </row>
    <row r="113" spans="1:17">
      <c r="A113" s="8" t="s">
        <v>208</v>
      </c>
      <c r="B113" s="8" t="s">
        <v>192</v>
      </c>
      <c r="C113" s="8" t="s">
        <v>193</v>
      </c>
      <c r="D113" s="8">
        <v>0</v>
      </c>
      <c r="E113" s="8">
        <v>3.40206342792857</v>
      </c>
      <c r="F113" s="8">
        <v>0</v>
      </c>
      <c r="G113" s="8">
        <v>2.53595877689213</v>
      </c>
      <c r="H113" s="8">
        <v>0</v>
      </c>
      <c r="I113" s="8">
        <v>0</v>
      </c>
      <c r="J113" s="8">
        <v>0</v>
      </c>
      <c r="K113" s="8">
        <v>0</v>
      </c>
      <c r="L113" s="8">
        <v>2.25713267442674</v>
      </c>
      <c r="M113" s="8">
        <v>0</v>
      </c>
    </row>
    <row r="114" spans="1:17">
      <c r="A114" s="8" t="s">
        <v>208</v>
      </c>
      <c r="B114" s="8" t="s">
        <v>192</v>
      </c>
      <c r="C114" s="8" t="s">
        <v>194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7">
      <c r="A115" s="8" t="s">
        <v>208</v>
      </c>
      <c r="B115" s="8" t="s">
        <v>195</v>
      </c>
      <c r="C115" s="8" t="s">
        <v>196</v>
      </c>
      <c r="D115" s="8">
        <v>0</v>
      </c>
      <c r="E115" s="8">
        <v>0</v>
      </c>
      <c r="F115" s="8">
        <v>0</v>
      </c>
      <c r="G115" s="8">
        <v>28.6581772534521</v>
      </c>
      <c r="H115" s="8">
        <v>0</v>
      </c>
      <c r="I115" s="8">
        <v>0</v>
      </c>
      <c r="J115" s="8">
        <v>0</v>
      </c>
      <c r="K115" s="8">
        <v>0</v>
      </c>
      <c r="L115" s="8">
        <v>1.26477349142959</v>
      </c>
      <c r="M115" s="8">
        <v>0</v>
      </c>
    </row>
    <row r="116" spans="1:17">
      <c r="A116" s="8" t="s">
        <v>208</v>
      </c>
      <c r="B116" s="8" t="s">
        <v>195</v>
      </c>
      <c r="C116" s="8" t="s">
        <v>197</v>
      </c>
      <c r="D116" s="8">
        <v>0</v>
      </c>
      <c r="E116" s="8">
        <v>0</v>
      </c>
      <c r="F116" s="8">
        <v>0</v>
      </c>
      <c r="G116" s="8">
        <v>6.37549728018186</v>
      </c>
      <c r="H116" s="8">
        <v>0</v>
      </c>
      <c r="I116" s="8">
        <v>0</v>
      </c>
      <c r="J116" s="8">
        <v>0</v>
      </c>
      <c r="K116" s="8">
        <v>0</v>
      </c>
      <c r="L116" s="8">
        <v>3.82730084571626</v>
      </c>
      <c r="M116" s="8">
        <v>0</v>
      </c>
    </row>
    <row r="117" spans="1:17">
      <c r="A117" s="8" t="s">
        <v>208</v>
      </c>
      <c r="B117" s="8" t="s">
        <v>198</v>
      </c>
      <c r="C117" s="8" t="s">
        <v>199</v>
      </c>
      <c r="D117" s="8">
        <v>0</v>
      </c>
      <c r="E117" s="8">
        <v>0</v>
      </c>
      <c r="F117" s="8">
        <v>0</v>
      </c>
      <c r="G117" s="8">
        <v>40.1294448089696</v>
      </c>
      <c r="H117" s="8">
        <v>0</v>
      </c>
      <c r="I117" s="8">
        <v>0</v>
      </c>
      <c r="J117" s="8">
        <v>0</v>
      </c>
      <c r="K117" s="8">
        <v>0</v>
      </c>
      <c r="L117" s="8">
        <v>4.06724448868172</v>
      </c>
      <c r="M117" s="8">
        <v>0</v>
      </c>
    </row>
    <row r="118" spans="1:17">
      <c r="A118" s="8" t="s">
        <v>208</v>
      </c>
      <c r="B118" s="8" t="s">
        <v>36</v>
      </c>
      <c r="C118" s="8" t="s">
        <v>130</v>
      </c>
      <c r="D118" s="8">
        <v>0</v>
      </c>
      <c r="E118" s="8">
        <v>0</v>
      </c>
      <c r="F118" s="8">
        <v>6.26596830046296</v>
      </c>
      <c r="G118" s="8">
        <v>0</v>
      </c>
      <c r="H118" s="8">
        <v>0</v>
      </c>
      <c r="I118" s="8">
        <v>0</v>
      </c>
      <c r="J118" s="8">
        <v>9.10392441308492</v>
      </c>
      <c r="K118" s="8">
        <v>0</v>
      </c>
      <c r="L118" s="8">
        <v>0</v>
      </c>
      <c r="M118" s="16">
        <v>0</v>
      </c>
    </row>
    <row r="119" spans="1:17">
      <c r="A119" s="8" t="s">
        <v>208</v>
      </c>
      <c r="B119" s="8" t="s">
        <v>200</v>
      </c>
      <c r="C119" s="8" t="s">
        <v>97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17.2848039049127</v>
      </c>
      <c r="K119" s="8">
        <v>16.7063745381655</v>
      </c>
      <c r="L119" s="8">
        <v>1.83392097042328</v>
      </c>
      <c r="M119" s="8">
        <v>1.12185788845544</v>
      </c>
    </row>
    <row r="120" spans="1:17">
      <c r="A120" s="8" t="s">
        <v>208</v>
      </c>
      <c r="B120" s="8" t="s">
        <v>200</v>
      </c>
      <c r="C120" s="8" t="s">
        <v>98</v>
      </c>
      <c r="D120" s="8">
        <v>0</v>
      </c>
      <c r="E120" s="8">
        <v>0.505568622425261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2.98511836136163</v>
      </c>
      <c r="M120" s="8">
        <v>0</v>
      </c>
    </row>
    <row r="121" spans="1:17">
      <c r="A121" s="8" t="s">
        <v>208</v>
      </c>
      <c r="B121" s="8" t="s">
        <v>200</v>
      </c>
      <c r="C121" s="8" t="s">
        <v>95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7.02179756195044</v>
      </c>
      <c r="L121" s="8">
        <v>1.66894145735377</v>
      </c>
      <c r="M121" s="8">
        <v>0</v>
      </c>
    </row>
    <row r="122" spans="1:17">
      <c r="A122" s="8" t="s">
        <v>208</v>
      </c>
      <c r="B122" s="8" t="s">
        <v>200</v>
      </c>
      <c r="C122" s="8" t="s">
        <v>93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4.98260654207388</v>
      </c>
      <c r="L122" s="8">
        <v>1.57193081632617</v>
      </c>
      <c r="M122" s="8">
        <v>0</v>
      </c>
    </row>
    <row r="123" spans="1:17">
      <c r="A123" s="8" t="s">
        <v>208</v>
      </c>
      <c r="B123" s="8" t="s">
        <v>200</v>
      </c>
      <c r="C123" s="8" t="s">
        <v>96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1.06830212944826</v>
      </c>
      <c r="M123" s="8">
        <v>0</v>
      </c>
    </row>
    <row r="124" spans="1:17">
      <c r="A124" s="8" t="s">
        <v>208</v>
      </c>
      <c r="B124" s="8" t="s">
        <v>200</v>
      </c>
      <c r="C124" s="8" t="s">
        <v>94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4.87688438280455</v>
      </c>
      <c r="L124" s="8">
        <v>0.590100827730202</v>
      </c>
      <c r="M124" s="8">
        <v>0</v>
      </c>
    </row>
    <row r="125" spans="1:17">
      <c r="A125" s="8" t="s">
        <v>208</v>
      </c>
      <c r="B125" s="8" t="s">
        <v>201</v>
      </c>
      <c r="C125" s="8" t="s">
        <v>202</v>
      </c>
      <c r="D125" s="8"/>
      <c r="E125" s="8"/>
      <c r="F125" s="8"/>
      <c r="G125" s="8"/>
      <c r="H125" s="8"/>
      <c r="I125" s="8"/>
      <c r="J125" s="8"/>
      <c r="K125" s="8"/>
      <c r="L125" s="8"/>
      <c r="M125" s="17"/>
    </row>
    <row r="127" spans="1:17">
      <c r="N127" s="11" t="s">
        <v>203</v>
      </c>
      <c r="O127" s="11" t="s">
        <v>203</v>
      </c>
      <c r="P127" s="11" t="s">
        <v>204</v>
      </c>
      <c r="Q127" s="11" t="s">
        <v>204</v>
      </c>
    </row>
    <row r="128" spans="1:17">
      <c r="B128" s="8" t="s">
        <v>208</v>
      </c>
      <c r="C128" s="8" t="s">
        <v>188</v>
      </c>
      <c r="D128" s="8">
        <f t="shared" ref="D128:M128" si="63">D111</f>
        <v>0</v>
      </c>
      <c r="E128" s="8">
        <f t="shared" si="63"/>
        <v>0</v>
      </c>
      <c r="F128" s="8">
        <f t="shared" si="63"/>
        <v>0</v>
      </c>
      <c r="G128" s="8">
        <f t="shared" si="63"/>
        <v>0</v>
      </c>
      <c r="H128" s="8">
        <f t="shared" si="63"/>
        <v>0</v>
      </c>
      <c r="I128" s="8">
        <f t="shared" si="63"/>
        <v>0</v>
      </c>
      <c r="J128" s="8">
        <f t="shared" si="63"/>
        <v>0</v>
      </c>
      <c r="K128" s="8">
        <f t="shared" si="63"/>
        <v>0</v>
      </c>
      <c r="L128" s="8">
        <f t="shared" si="63"/>
        <v>0</v>
      </c>
      <c r="M128" s="8">
        <f t="shared" si="63"/>
        <v>0</v>
      </c>
      <c r="N128" s="8">
        <f t="shared" ref="N128:N135" si="64">AVERAGE(D128:H128)</f>
        <v>0</v>
      </c>
      <c r="O128" s="8">
        <f t="shared" ref="O128:O135" si="65">AVERAGE(I128:M128)</f>
        <v>0</v>
      </c>
      <c r="P128" s="8">
        <f t="shared" ref="P128:P135" si="66">LOG(N128+1,2)</f>
        <v>0</v>
      </c>
      <c r="Q128" s="8">
        <f t="shared" ref="Q128:Q135" si="67">LOG(O128+1,2)</f>
        <v>0</v>
      </c>
    </row>
    <row r="129" spans="1:17">
      <c r="B129" s="8" t="s">
        <v>208</v>
      </c>
      <c r="C129" s="8" t="s">
        <v>190</v>
      </c>
      <c r="D129" s="8">
        <f t="shared" ref="D129:M129" si="68">D112</f>
        <v>0</v>
      </c>
      <c r="E129" s="8">
        <f t="shared" si="68"/>
        <v>0</v>
      </c>
      <c r="F129" s="8">
        <f t="shared" si="68"/>
        <v>0</v>
      </c>
      <c r="G129" s="8">
        <f t="shared" si="68"/>
        <v>2.08272440684181</v>
      </c>
      <c r="H129" s="8">
        <f t="shared" si="68"/>
        <v>0</v>
      </c>
      <c r="I129" s="8">
        <f t="shared" si="68"/>
        <v>0</v>
      </c>
      <c r="J129" s="8">
        <f t="shared" si="68"/>
        <v>0</v>
      </c>
      <c r="K129" s="8">
        <f t="shared" si="68"/>
        <v>0</v>
      </c>
      <c r="L129" s="8">
        <f t="shared" si="68"/>
        <v>0.714936061878109</v>
      </c>
      <c r="M129" s="8">
        <f t="shared" si="68"/>
        <v>0</v>
      </c>
      <c r="N129" s="8">
        <f t="shared" si="64"/>
        <v>0.416544881368362</v>
      </c>
      <c r="O129" s="8">
        <f t="shared" si="65"/>
        <v>0.142987212375622</v>
      </c>
      <c r="P129" s="8">
        <f t="shared" si="66"/>
        <v>0.502376312342056</v>
      </c>
      <c r="Q129" s="8">
        <f t="shared" si="67"/>
        <v>0.19280926291768</v>
      </c>
    </row>
    <row r="130" spans="1:17">
      <c r="B130" s="8" t="s">
        <v>208</v>
      </c>
      <c r="C130" s="8" t="s">
        <v>192</v>
      </c>
      <c r="D130" s="8">
        <f t="shared" ref="D130:M130" si="69">D113+D114</f>
        <v>0</v>
      </c>
      <c r="E130" s="8">
        <f t="shared" si="69"/>
        <v>3.40206342792857</v>
      </c>
      <c r="F130" s="8">
        <f t="shared" si="69"/>
        <v>0</v>
      </c>
      <c r="G130" s="8">
        <f t="shared" si="69"/>
        <v>2.53595877689213</v>
      </c>
      <c r="H130" s="8">
        <f t="shared" si="69"/>
        <v>0</v>
      </c>
      <c r="I130" s="8">
        <f t="shared" si="69"/>
        <v>0</v>
      </c>
      <c r="J130" s="8">
        <f t="shared" si="69"/>
        <v>0</v>
      </c>
      <c r="K130" s="8">
        <f t="shared" si="69"/>
        <v>0</v>
      </c>
      <c r="L130" s="8">
        <f t="shared" si="69"/>
        <v>2.25713267442674</v>
      </c>
      <c r="M130" s="8">
        <f t="shared" si="69"/>
        <v>0</v>
      </c>
      <c r="N130" s="8">
        <f t="shared" si="64"/>
        <v>1.18760444096414</v>
      </c>
      <c r="O130" s="8">
        <f t="shared" si="65"/>
        <v>0.451426534885349</v>
      </c>
      <c r="P130" s="8">
        <f t="shared" si="66"/>
        <v>1.12935189596858</v>
      </c>
      <c r="Q130" s="8">
        <f t="shared" si="67"/>
        <v>0.537471550649475</v>
      </c>
    </row>
    <row r="131" spans="1:17">
      <c r="B131" s="8" t="s">
        <v>208</v>
      </c>
      <c r="C131" s="8" t="s">
        <v>195</v>
      </c>
      <c r="D131" s="8">
        <f t="shared" ref="D131:M131" si="70">SUM(D115:D116)</f>
        <v>0</v>
      </c>
      <c r="E131" s="8">
        <f t="shared" si="70"/>
        <v>0</v>
      </c>
      <c r="F131" s="8">
        <f t="shared" si="70"/>
        <v>0</v>
      </c>
      <c r="G131" s="8">
        <f t="shared" si="70"/>
        <v>35.0336745336339</v>
      </c>
      <c r="H131" s="8">
        <f t="shared" si="70"/>
        <v>0</v>
      </c>
      <c r="I131" s="8">
        <f t="shared" si="70"/>
        <v>0</v>
      </c>
      <c r="J131" s="8">
        <f t="shared" si="70"/>
        <v>0</v>
      </c>
      <c r="K131" s="8">
        <f t="shared" si="70"/>
        <v>0</v>
      </c>
      <c r="L131" s="8">
        <f t="shared" si="70"/>
        <v>5.09207433714585</v>
      </c>
      <c r="M131" s="8">
        <f t="shared" si="70"/>
        <v>0</v>
      </c>
      <c r="N131" s="8">
        <f t="shared" si="64"/>
        <v>7.00673490672679</v>
      </c>
      <c r="O131" s="8">
        <f t="shared" si="65"/>
        <v>1.01841486742917</v>
      </c>
      <c r="P131" s="8">
        <f t="shared" si="66"/>
        <v>3.00121404111027</v>
      </c>
      <c r="Q131" s="8">
        <f t="shared" si="67"/>
        <v>1.01322273820417</v>
      </c>
    </row>
    <row r="132" spans="1:17">
      <c r="B132" s="8" t="s">
        <v>208</v>
      </c>
      <c r="C132" s="8" t="s">
        <v>198</v>
      </c>
      <c r="D132" s="8">
        <f t="shared" ref="D132:M132" si="71">D117</f>
        <v>0</v>
      </c>
      <c r="E132" s="8">
        <f t="shared" si="71"/>
        <v>0</v>
      </c>
      <c r="F132" s="8">
        <f t="shared" si="71"/>
        <v>0</v>
      </c>
      <c r="G132" s="8">
        <f t="shared" si="71"/>
        <v>40.1294448089696</v>
      </c>
      <c r="H132" s="8">
        <f t="shared" si="71"/>
        <v>0</v>
      </c>
      <c r="I132" s="8">
        <f t="shared" si="71"/>
        <v>0</v>
      </c>
      <c r="J132" s="8">
        <f t="shared" si="71"/>
        <v>0</v>
      </c>
      <c r="K132" s="8">
        <f t="shared" si="71"/>
        <v>0</v>
      </c>
      <c r="L132" s="8">
        <f t="shared" si="71"/>
        <v>4.06724448868172</v>
      </c>
      <c r="M132" s="8">
        <f t="shared" si="71"/>
        <v>0</v>
      </c>
      <c r="N132" s="8">
        <f t="shared" si="64"/>
        <v>8.02588896179392</v>
      </c>
      <c r="O132" s="8">
        <f t="shared" si="65"/>
        <v>0.813448897736344</v>
      </c>
      <c r="P132" s="8">
        <f t="shared" si="66"/>
        <v>3.17406903035024</v>
      </c>
      <c r="Q132" s="8">
        <f t="shared" si="67"/>
        <v>0.85873609131254</v>
      </c>
    </row>
    <row r="133" spans="1:17">
      <c r="B133" s="8" t="s">
        <v>208</v>
      </c>
      <c r="C133" s="8" t="s">
        <v>36</v>
      </c>
      <c r="D133" s="8">
        <f t="shared" ref="D133:M133" si="72">D118</f>
        <v>0</v>
      </c>
      <c r="E133" s="8">
        <f t="shared" si="72"/>
        <v>0</v>
      </c>
      <c r="F133" s="8">
        <f t="shared" si="72"/>
        <v>6.26596830046296</v>
      </c>
      <c r="G133" s="8">
        <f t="shared" si="72"/>
        <v>0</v>
      </c>
      <c r="H133" s="8">
        <f t="shared" si="72"/>
        <v>0</v>
      </c>
      <c r="I133" s="8">
        <f t="shared" si="72"/>
        <v>0</v>
      </c>
      <c r="J133" s="8">
        <f t="shared" si="72"/>
        <v>9.10392441308492</v>
      </c>
      <c r="K133" s="8">
        <f t="shared" si="72"/>
        <v>0</v>
      </c>
      <c r="L133" s="8">
        <f t="shared" si="72"/>
        <v>0</v>
      </c>
      <c r="M133" s="8">
        <f t="shared" si="72"/>
        <v>0</v>
      </c>
      <c r="N133" s="8">
        <f t="shared" si="64"/>
        <v>1.25319366009259</v>
      </c>
      <c r="O133" s="8">
        <f t="shared" si="65"/>
        <v>1.82078488261698</v>
      </c>
      <c r="P133" s="8">
        <f t="shared" si="66"/>
        <v>1.17197131732304</v>
      </c>
      <c r="Q133" s="8">
        <f t="shared" si="67"/>
        <v>1.49609664798119</v>
      </c>
    </row>
    <row r="134" spans="1:17">
      <c r="B134" s="8" t="s">
        <v>208</v>
      </c>
      <c r="C134" s="8" t="s">
        <v>200</v>
      </c>
      <c r="D134" s="8">
        <f t="shared" ref="D134:M134" si="73">SUM(D119:D124)</f>
        <v>0</v>
      </c>
      <c r="E134" s="8">
        <f t="shared" si="73"/>
        <v>0.505568622425261</v>
      </c>
      <c r="F134" s="8">
        <f t="shared" si="73"/>
        <v>0</v>
      </c>
      <c r="G134" s="8">
        <f t="shared" si="73"/>
        <v>0</v>
      </c>
      <c r="H134" s="8">
        <f t="shared" si="73"/>
        <v>0</v>
      </c>
      <c r="I134" s="8">
        <f t="shared" si="73"/>
        <v>0</v>
      </c>
      <c r="J134" s="8">
        <f t="shared" si="73"/>
        <v>17.2848039049127</v>
      </c>
      <c r="K134" s="8">
        <f t="shared" si="73"/>
        <v>33.5876630249944</v>
      </c>
      <c r="L134" s="8">
        <f t="shared" si="73"/>
        <v>9.71831456264331</v>
      </c>
      <c r="M134" s="8">
        <f t="shared" si="73"/>
        <v>1.12185788845544</v>
      </c>
      <c r="N134" s="8">
        <f t="shared" si="64"/>
        <v>0.101113724485052</v>
      </c>
      <c r="O134" s="8">
        <f t="shared" si="65"/>
        <v>12.3425278762012</v>
      </c>
      <c r="P134" s="8">
        <f t="shared" si="66"/>
        <v>0.138963480053644</v>
      </c>
      <c r="Q134" s="8">
        <f t="shared" si="67"/>
        <v>3.73796012040247</v>
      </c>
    </row>
    <row r="135" spans="1:17">
      <c r="B135" s="8" t="s">
        <v>208</v>
      </c>
      <c r="C135" s="8" t="s">
        <v>201</v>
      </c>
      <c r="D135" s="8">
        <f t="shared" ref="D135:M135" si="74">D125</f>
        <v>0</v>
      </c>
      <c r="E135" s="8">
        <f t="shared" si="74"/>
        <v>0</v>
      </c>
      <c r="F135" s="8">
        <f t="shared" si="74"/>
        <v>0</v>
      </c>
      <c r="G135" s="8">
        <f t="shared" si="74"/>
        <v>0</v>
      </c>
      <c r="H135" s="8">
        <f t="shared" si="74"/>
        <v>0</v>
      </c>
      <c r="I135" s="8">
        <f t="shared" si="74"/>
        <v>0</v>
      </c>
      <c r="J135" s="8">
        <f t="shared" si="74"/>
        <v>0</v>
      </c>
      <c r="K135" s="8">
        <f t="shared" si="74"/>
        <v>0</v>
      </c>
      <c r="L135" s="8">
        <f t="shared" si="74"/>
        <v>0</v>
      </c>
      <c r="M135" s="8">
        <f t="shared" si="74"/>
        <v>0</v>
      </c>
      <c r="N135" s="8">
        <f t="shared" si="64"/>
        <v>0</v>
      </c>
      <c r="O135" s="8">
        <f t="shared" si="65"/>
        <v>0</v>
      </c>
      <c r="P135" s="8">
        <f t="shared" si="66"/>
        <v>0</v>
      </c>
      <c r="Q135" s="8">
        <f t="shared" si="67"/>
        <v>0</v>
      </c>
    </row>
    <row r="140" spans="1:17">
      <c r="A140" s="8" t="s">
        <v>209</v>
      </c>
      <c r="B140" s="8" t="s">
        <v>188</v>
      </c>
      <c r="C140" s="8" t="s">
        <v>189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7">
      <c r="A141" s="8" t="s">
        <v>209</v>
      </c>
      <c r="B141" s="8" t="s">
        <v>190</v>
      </c>
      <c r="C141" s="8" t="s">
        <v>191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7">
      <c r="A142" s="8" t="s">
        <v>209</v>
      </c>
      <c r="B142" s="8" t="s">
        <v>192</v>
      </c>
      <c r="C142" s="8" t="s">
        <v>193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7">
      <c r="A143" s="8" t="s">
        <v>209</v>
      </c>
      <c r="B143" s="8" t="s">
        <v>192</v>
      </c>
      <c r="C143" s="8" t="s">
        <v>194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7">
      <c r="A144" s="8" t="s">
        <v>209</v>
      </c>
      <c r="B144" s="8" t="s">
        <v>195</v>
      </c>
      <c r="C144" s="8" t="s">
        <v>196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7">
      <c r="A145" s="8" t="s">
        <v>209</v>
      </c>
      <c r="B145" s="8" t="s">
        <v>195</v>
      </c>
      <c r="C145" s="8" t="s">
        <v>197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7">
      <c r="A146" s="8" t="s">
        <v>209</v>
      </c>
      <c r="B146" s="8" t="s">
        <v>198</v>
      </c>
      <c r="C146" s="8" t="s">
        <v>199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7">
      <c r="A147" s="8" t="s">
        <v>209</v>
      </c>
      <c r="B147" s="8" t="s">
        <v>36</v>
      </c>
      <c r="C147" s="8" t="s">
        <v>130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7">
      <c r="A148" s="8" t="s">
        <v>209</v>
      </c>
      <c r="B148" s="8" t="s">
        <v>200</v>
      </c>
      <c r="C148" s="8" t="s">
        <v>97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7">
      <c r="A149" s="8" t="s">
        <v>209</v>
      </c>
      <c r="B149" s="8" t="s">
        <v>200</v>
      </c>
      <c r="C149" s="8" t="s">
        <v>98</v>
      </c>
      <c r="D149" s="8">
        <v>0</v>
      </c>
      <c r="E149" s="8">
        <v>9.97842682941394</v>
      </c>
      <c r="F149" s="8">
        <v>0</v>
      </c>
      <c r="G149" s="8">
        <v>4.85862676494758</v>
      </c>
      <c r="H149" s="8">
        <v>0</v>
      </c>
      <c r="I149" s="8">
        <v>7.93223915462086</v>
      </c>
      <c r="J149" s="8">
        <v>89.9348047296852</v>
      </c>
      <c r="K149" s="8">
        <v>72.8226267642613</v>
      </c>
      <c r="L149" s="8">
        <v>41.6477232199196</v>
      </c>
      <c r="M149" s="8">
        <v>14.198507544684</v>
      </c>
    </row>
    <row r="150" spans="1:17">
      <c r="A150" s="8" t="s">
        <v>209</v>
      </c>
      <c r="B150" s="8" t="s">
        <v>200</v>
      </c>
      <c r="C150" s="8" t="s">
        <v>95</v>
      </c>
      <c r="D150" s="8">
        <v>0</v>
      </c>
      <c r="E150" s="8">
        <v>3.46098750534228</v>
      </c>
      <c r="F150" s="8">
        <v>11.3179928661464</v>
      </c>
      <c r="G150" s="8">
        <v>1.7004</v>
      </c>
      <c r="H150" s="8">
        <v>0</v>
      </c>
      <c r="I150" s="8">
        <v>0</v>
      </c>
      <c r="J150" s="8">
        <v>53.9606124795739</v>
      </c>
      <c r="K150" s="8">
        <v>7.46979992928072</v>
      </c>
      <c r="L150" s="8">
        <v>1.63881870344272</v>
      </c>
      <c r="M150" s="8">
        <v>3.0245150993356</v>
      </c>
    </row>
    <row r="151" spans="1:17">
      <c r="A151" s="8" t="s">
        <v>209</v>
      </c>
      <c r="B151" s="8" t="s">
        <v>200</v>
      </c>
      <c r="C151" s="8" t="s">
        <v>93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7">
      <c r="A152" s="8" t="s">
        <v>209</v>
      </c>
      <c r="B152" s="8" t="s">
        <v>200</v>
      </c>
      <c r="C152" s="8" t="s">
        <v>96</v>
      </c>
      <c r="D152" s="8">
        <v>0</v>
      </c>
      <c r="E152" s="8">
        <v>1.91292156178894</v>
      </c>
      <c r="F152" s="8">
        <v>14.6209014023961</v>
      </c>
      <c r="G152" s="8">
        <v>4.12206733129817</v>
      </c>
      <c r="H152" s="8">
        <v>0</v>
      </c>
      <c r="I152" s="8">
        <v>3.79151288156034</v>
      </c>
      <c r="J152" s="8">
        <v>43.8304867802147</v>
      </c>
      <c r="K152" s="8">
        <v>4.10994157780774</v>
      </c>
      <c r="L152" s="8">
        <v>2.56492199961097</v>
      </c>
      <c r="M152" s="8">
        <v>9.46567852348083</v>
      </c>
    </row>
    <row r="153" spans="1:17">
      <c r="A153" s="8" t="s">
        <v>209</v>
      </c>
      <c r="B153" s="8" t="s">
        <v>200</v>
      </c>
      <c r="C153" s="8" t="s">
        <v>94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7">
      <c r="A154" s="8" t="s">
        <v>209</v>
      </c>
      <c r="B154" s="8" t="s">
        <v>201</v>
      </c>
      <c r="C154" s="8" t="s">
        <v>202</v>
      </c>
      <c r="D154" s="8">
        <v>0</v>
      </c>
      <c r="E154" s="8">
        <v>0</v>
      </c>
      <c r="F154" s="8">
        <v>0</v>
      </c>
      <c r="G154" s="8">
        <v>4.13440184023698</v>
      </c>
      <c r="H154" s="8">
        <v>2.52970182691641</v>
      </c>
      <c r="I154" s="8">
        <v>2.82233175533254</v>
      </c>
      <c r="J154" s="8">
        <v>56.7750955999328</v>
      </c>
      <c r="K154" s="8">
        <v>14.4494899410376</v>
      </c>
      <c r="L154" s="8">
        <v>8.24268647694192</v>
      </c>
      <c r="M154" s="8">
        <v>28.8849624744209</v>
      </c>
    </row>
    <row r="156" spans="1:17">
      <c r="N156" s="11" t="s">
        <v>203</v>
      </c>
      <c r="O156" s="11" t="s">
        <v>203</v>
      </c>
      <c r="P156" s="11" t="s">
        <v>204</v>
      </c>
      <c r="Q156" s="11" t="s">
        <v>204</v>
      </c>
    </row>
    <row r="157" spans="1:17">
      <c r="B157" s="8" t="s">
        <v>209</v>
      </c>
      <c r="C157" s="8" t="s">
        <v>188</v>
      </c>
      <c r="D157" s="8">
        <f t="shared" ref="D157:M157" si="75">D140</f>
        <v>0</v>
      </c>
      <c r="E157" s="8">
        <f t="shared" si="75"/>
        <v>0</v>
      </c>
      <c r="F157" s="8">
        <f t="shared" si="75"/>
        <v>0</v>
      </c>
      <c r="G157" s="8">
        <f t="shared" si="75"/>
        <v>0</v>
      </c>
      <c r="H157" s="8">
        <f t="shared" si="75"/>
        <v>0</v>
      </c>
      <c r="I157" s="8">
        <f t="shared" si="75"/>
        <v>0</v>
      </c>
      <c r="J157" s="8">
        <f t="shared" si="75"/>
        <v>0</v>
      </c>
      <c r="K157" s="8">
        <f t="shared" si="75"/>
        <v>0</v>
      </c>
      <c r="L157" s="8">
        <f t="shared" si="75"/>
        <v>0</v>
      </c>
      <c r="M157" s="8">
        <f t="shared" si="75"/>
        <v>0</v>
      </c>
      <c r="N157" s="8">
        <f t="shared" ref="N157:N164" si="76">AVERAGE(D157:H157)</f>
        <v>0</v>
      </c>
      <c r="O157" s="8">
        <f t="shared" ref="O157:O164" si="77">AVERAGE(I157:M157)</f>
        <v>0</v>
      </c>
      <c r="P157" s="8">
        <f t="shared" ref="P157:P164" si="78">LOG(N157+1,2)</f>
        <v>0</v>
      </c>
      <c r="Q157" s="8">
        <f t="shared" ref="Q157:Q164" si="79">LOG(O157+1,2)</f>
        <v>0</v>
      </c>
    </row>
    <row r="158" spans="1:17">
      <c r="B158" s="8" t="s">
        <v>209</v>
      </c>
      <c r="C158" s="8" t="s">
        <v>190</v>
      </c>
      <c r="D158" s="8">
        <f t="shared" ref="D158:M158" si="80">D141</f>
        <v>0</v>
      </c>
      <c r="E158" s="8">
        <f t="shared" si="80"/>
        <v>0</v>
      </c>
      <c r="F158" s="8">
        <f t="shared" si="80"/>
        <v>0</v>
      </c>
      <c r="G158" s="8">
        <f t="shared" si="80"/>
        <v>0</v>
      </c>
      <c r="H158" s="8">
        <f t="shared" si="80"/>
        <v>0</v>
      </c>
      <c r="I158" s="8">
        <f t="shared" si="80"/>
        <v>0</v>
      </c>
      <c r="J158" s="8">
        <f t="shared" si="80"/>
        <v>0</v>
      </c>
      <c r="K158" s="8">
        <f t="shared" si="80"/>
        <v>0</v>
      </c>
      <c r="L158" s="8">
        <f t="shared" si="80"/>
        <v>0</v>
      </c>
      <c r="M158" s="8">
        <f t="shared" si="80"/>
        <v>0</v>
      </c>
      <c r="N158" s="8">
        <f t="shared" si="76"/>
        <v>0</v>
      </c>
      <c r="O158" s="8">
        <f t="shared" si="77"/>
        <v>0</v>
      </c>
      <c r="P158" s="8">
        <f t="shared" si="78"/>
        <v>0</v>
      </c>
      <c r="Q158" s="8">
        <f t="shared" si="79"/>
        <v>0</v>
      </c>
    </row>
    <row r="159" spans="1:17">
      <c r="B159" s="8" t="s">
        <v>209</v>
      </c>
      <c r="C159" s="8" t="s">
        <v>192</v>
      </c>
      <c r="D159" s="8">
        <f t="shared" ref="D159:M159" si="81">D142+D143</f>
        <v>0</v>
      </c>
      <c r="E159" s="8">
        <f t="shared" si="81"/>
        <v>0</v>
      </c>
      <c r="F159" s="8">
        <f t="shared" si="81"/>
        <v>0</v>
      </c>
      <c r="G159" s="8">
        <f t="shared" si="81"/>
        <v>0</v>
      </c>
      <c r="H159" s="8">
        <f t="shared" si="81"/>
        <v>0</v>
      </c>
      <c r="I159" s="8">
        <f t="shared" si="81"/>
        <v>0</v>
      </c>
      <c r="J159" s="8">
        <f t="shared" si="81"/>
        <v>0</v>
      </c>
      <c r="K159" s="8">
        <f t="shared" si="81"/>
        <v>0</v>
      </c>
      <c r="L159" s="8">
        <f t="shared" si="81"/>
        <v>0</v>
      </c>
      <c r="M159" s="8">
        <f t="shared" si="81"/>
        <v>0</v>
      </c>
      <c r="N159" s="8">
        <f t="shared" si="76"/>
        <v>0</v>
      </c>
      <c r="O159" s="8">
        <f t="shared" si="77"/>
        <v>0</v>
      </c>
      <c r="P159" s="8">
        <f t="shared" si="78"/>
        <v>0</v>
      </c>
      <c r="Q159" s="8">
        <f t="shared" si="79"/>
        <v>0</v>
      </c>
    </row>
    <row r="160" spans="1:17">
      <c r="B160" s="8" t="s">
        <v>209</v>
      </c>
      <c r="C160" s="8" t="s">
        <v>195</v>
      </c>
      <c r="D160" s="8">
        <f t="shared" ref="D160:M160" si="82">SUM(D144:D145)</f>
        <v>0</v>
      </c>
      <c r="E160" s="8">
        <f t="shared" si="82"/>
        <v>0</v>
      </c>
      <c r="F160" s="8">
        <f t="shared" si="82"/>
        <v>0</v>
      </c>
      <c r="G160" s="8">
        <f t="shared" si="82"/>
        <v>0</v>
      </c>
      <c r="H160" s="8">
        <f t="shared" si="82"/>
        <v>0</v>
      </c>
      <c r="I160" s="8">
        <f t="shared" si="82"/>
        <v>0</v>
      </c>
      <c r="J160" s="8">
        <f t="shared" si="82"/>
        <v>0</v>
      </c>
      <c r="K160" s="8">
        <f t="shared" si="82"/>
        <v>0</v>
      </c>
      <c r="L160" s="8">
        <f t="shared" si="82"/>
        <v>0</v>
      </c>
      <c r="M160" s="8">
        <f t="shared" si="82"/>
        <v>0</v>
      </c>
      <c r="N160" s="8">
        <f t="shared" si="76"/>
        <v>0</v>
      </c>
      <c r="O160" s="8">
        <f t="shared" si="77"/>
        <v>0</v>
      </c>
      <c r="P160" s="8">
        <f t="shared" si="78"/>
        <v>0</v>
      </c>
      <c r="Q160" s="8">
        <f t="shared" si="79"/>
        <v>0</v>
      </c>
    </row>
    <row r="161" spans="1:17">
      <c r="B161" s="8" t="s">
        <v>209</v>
      </c>
      <c r="C161" s="8" t="s">
        <v>198</v>
      </c>
      <c r="D161" s="8">
        <f t="shared" ref="D161:M161" si="83">D146</f>
        <v>0</v>
      </c>
      <c r="E161" s="8">
        <f t="shared" si="83"/>
        <v>0</v>
      </c>
      <c r="F161" s="8">
        <f t="shared" si="83"/>
        <v>0</v>
      </c>
      <c r="G161" s="8">
        <f t="shared" si="83"/>
        <v>0</v>
      </c>
      <c r="H161" s="8">
        <f t="shared" si="83"/>
        <v>0</v>
      </c>
      <c r="I161" s="8">
        <f t="shared" si="83"/>
        <v>0</v>
      </c>
      <c r="J161" s="8">
        <f t="shared" si="83"/>
        <v>0</v>
      </c>
      <c r="K161" s="8">
        <f t="shared" si="83"/>
        <v>0</v>
      </c>
      <c r="L161" s="8">
        <f t="shared" si="83"/>
        <v>0</v>
      </c>
      <c r="M161" s="8">
        <f t="shared" si="83"/>
        <v>0</v>
      </c>
      <c r="N161" s="8">
        <f t="shared" si="76"/>
        <v>0</v>
      </c>
      <c r="O161" s="8">
        <f t="shared" si="77"/>
        <v>0</v>
      </c>
      <c r="P161" s="8">
        <f t="shared" si="78"/>
        <v>0</v>
      </c>
      <c r="Q161" s="8">
        <f t="shared" si="79"/>
        <v>0</v>
      </c>
    </row>
    <row r="162" spans="1:17">
      <c r="B162" s="8" t="s">
        <v>209</v>
      </c>
      <c r="C162" s="8" t="s">
        <v>36</v>
      </c>
      <c r="D162" s="8">
        <f t="shared" ref="D162:M162" si="84">D147</f>
        <v>0</v>
      </c>
      <c r="E162" s="8">
        <f t="shared" si="84"/>
        <v>0</v>
      </c>
      <c r="F162" s="8">
        <f t="shared" si="84"/>
        <v>0</v>
      </c>
      <c r="G162" s="8">
        <f t="shared" si="84"/>
        <v>0</v>
      </c>
      <c r="H162" s="8">
        <f t="shared" si="84"/>
        <v>0</v>
      </c>
      <c r="I162" s="8">
        <f t="shared" si="84"/>
        <v>0</v>
      </c>
      <c r="J162" s="8">
        <f t="shared" si="84"/>
        <v>0</v>
      </c>
      <c r="K162" s="8">
        <f t="shared" si="84"/>
        <v>0</v>
      </c>
      <c r="L162" s="8">
        <f t="shared" si="84"/>
        <v>0</v>
      </c>
      <c r="M162" s="8">
        <f t="shared" si="84"/>
        <v>0</v>
      </c>
      <c r="N162" s="8">
        <f t="shared" si="76"/>
        <v>0</v>
      </c>
      <c r="O162" s="8">
        <f t="shared" si="77"/>
        <v>0</v>
      </c>
      <c r="P162" s="8">
        <f t="shared" si="78"/>
        <v>0</v>
      </c>
      <c r="Q162" s="8">
        <f t="shared" si="79"/>
        <v>0</v>
      </c>
    </row>
    <row r="163" spans="1:17">
      <c r="B163" s="8" t="s">
        <v>209</v>
      </c>
      <c r="C163" s="8" t="s">
        <v>200</v>
      </c>
      <c r="D163" s="8">
        <f t="shared" ref="D163:M163" si="85">SUM(D148:D153)</f>
        <v>0</v>
      </c>
      <c r="E163" s="8">
        <f t="shared" si="85"/>
        <v>15.3523358965452</v>
      </c>
      <c r="F163" s="8">
        <f t="shared" si="85"/>
        <v>25.9388942685425</v>
      </c>
      <c r="G163" s="8">
        <f t="shared" si="85"/>
        <v>10.6810940962457</v>
      </c>
      <c r="H163" s="8">
        <f t="shared" si="85"/>
        <v>0</v>
      </c>
      <c r="I163" s="8">
        <f t="shared" si="85"/>
        <v>11.7237520361812</v>
      </c>
      <c r="J163" s="8">
        <f t="shared" si="85"/>
        <v>187.725903989474</v>
      </c>
      <c r="K163" s="8">
        <f t="shared" si="85"/>
        <v>84.4023682713498</v>
      </c>
      <c r="L163" s="8">
        <f t="shared" si="85"/>
        <v>45.8514639229733</v>
      </c>
      <c r="M163" s="8">
        <f t="shared" si="85"/>
        <v>26.6887011675004</v>
      </c>
      <c r="N163" s="8">
        <f t="shared" si="76"/>
        <v>10.3944648522667</v>
      </c>
      <c r="O163" s="8">
        <f t="shared" si="77"/>
        <v>71.2784378774957</v>
      </c>
      <c r="P163" s="8">
        <f t="shared" si="78"/>
        <v>3.51026126406181</v>
      </c>
      <c r="Q163" s="8">
        <f t="shared" si="79"/>
        <v>6.17549342108512</v>
      </c>
    </row>
    <row r="164" spans="1:17">
      <c r="B164" s="8" t="s">
        <v>209</v>
      </c>
      <c r="C164" s="8" t="s">
        <v>201</v>
      </c>
      <c r="D164" s="8">
        <f t="shared" ref="D164:M164" si="86">D154</f>
        <v>0</v>
      </c>
      <c r="E164" s="8">
        <f t="shared" si="86"/>
        <v>0</v>
      </c>
      <c r="F164" s="8">
        <f t="shared" si="86"/>
        <v>0</v>
      </c>
      <c r="G164" s="8">
        <f t="shared" si="86"/>
        <v>4.13440184023698</v>
      </c>
      <c r="H164" s="8">
        <f t="shared" si="86"/>
        <v>2.52970182691641</v>
      </c>
      <c r="I164" s="8">
        <f t="shared" si="86"/>
        <v>2.82233175533254</v>
      </c>
      <c r="J164" s="8">
        <f t="shared" si="86"/>
        <v>56.7750955999328</v>
      </c>
      <c r="K164" s="8">
        <f t="shared" si="86"/>
        <v>14.4494899410376</v>
      </c>
      <c r="L164" s="8">
        <f t="shared" si="86"/>
        <v>8.24268647694192</v>
      </c>
      <c r="M164" s="8">
        <f t="shared" si="86"/>
        <v>28.8849624744209</v>
      </c>
      <c r="N164" s="8">
        <f t="shared" si="76"/>
        <v>1.33282073343068</v>
      </c>
      <c r="O164" s="8">
        <f t="shared" si="77"/>
        <v>22.2349132495332</v>
      </c>
      <c r="P164" s="8">
        <f t="shared" si="78"/>
        <v>1.22207544708746</v>
      </c>
      <c r="Q164" s="8">
        <f t="shared" si="79"/>
        <v>4.53822235326292</v>
      </c>
    </row>
    <row r="167" spans="1:17">
      <c r="A167" s="8" t="s">
        <v>210</v>
      </c>
      <c r="B167" s="8" t="s">
        <v>188</v>
      </c>
      <c r="C167" s="8" t="s">
        <v>189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7">
      <c r="A168" s="8" t="s">
        <v>210</v>
      </c>
      <c r="B168" s="8" t="s">
        <v>190</v>
      </c>
      <c r="C168" s="8" t="s">
        <v>191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7">
      <c r="A169" s="8" t="s">
        <v>210</v>
      </c>
      <c r="B169" s="8" t="s">
        <v>192</v>
      </c>
      <c r="C169" s="8" t="s">
        <v>193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7">
      <c r="A170" s="8" t="s">
        <v>210</v>
      </c>
      <c r="B170" s="8" t="s">
        <v>192</v>
      </c>
      <c r="C170" s="8" t="s">
        <v>194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17">
      <c r="A171" s="8" t="s">
        <v>210</v>
      </c>
      <c r="B171" s="8" t="s">
        <v>195</v>
      </c>
      <c r="C171" s="8" t="s">
        <v>196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spans="1:17">
      <c r="A172" s="8" t="s">
        <v>210</v>
      </c>
      <c r="B172" s="8" t="s">
        <v>195</v>
      </c>
      <c r="C172" s="8" t="s">
        <v>197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spans="1:17">
      <c r="A173" s="8" t="s">
        <v>210</v>
      </c>
      <c r="B173" s="8" t="s">
        <v>198</v>
      </c>
      <c r="C173" s="8" t="s">
        <v>199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1:17">
      <c r="A174" s="8" t="s">
        <v>210</v>
      </c>
      <c r="B174" s="8" t="s">
        <v>36</v>
      </c>
      <c r="C174" s="8" t="s">
        <v>130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1:17">
      <c r="A175" s="8" t="s">
        <v>210</v>
      </c>
      <c r="B175" s="8" t="s">
        <v>200</v>
      </c>
      <c r="C175" s="8" t="s">
        <v>97</v>
      </c>
      <c r="D175" s="8">
        <v>0</v>
      </c>
      <c r="E175" s="8">
        <v>1.37319524451526</v>
      </c>
      <c r="F175" s="8">
        <v>0</v>
      </c>
      <c r="G175" s="8">
        <v>6.4527</v>
      </c>
      <c r="H175" s="8">
        <v>0</v>
      </c>
      <c r="I175" s="8">
        <v>0</v>
      </c>
      <c r="J175" s="8">
        <v>38.3723939061423</v>
      </c>
      <c r="K175" s="8">
        <v>7.76948094756735</v>
      </c>
      <c r="L175" s="8">
        <v>1.22261280949231</v>
      </c>
      <c r="M175" s="8">
        <v>0</v>
      </c>
    </row>
    <row r="176" spans="1:17">
      <c r="A176" s="8" t="s">
        <v>210</v>
      </c>
      <c r="B176" s="8" t="s">
        <v>200</v>
      </c>
      <c r="C176" s="8" t="s">
        <v>98</v>
      </c>
      <c r="D176" s="8">
        <v>0</v>
      </c>
      <c r="E176" s="8">
        <v>1.96524577572965</v>
      </c>
      <c r="F176" s="8">
        <v>0.220693064355426</v>
      </c>
      <c r="G176" s="8">
        <v>2.42960647715594</v>
      </c>
      <c r="H176" s="8">
        <v>0</v>
      </c>
      <c r="I176" s="8">
        <v>15.0712366852799</v>
      </c>
      <c r="J176" s="8">
        <v>12.5163285874029</v>
      </c>
      <c r="K176" s="8">
        <v>20.1422214888448</v>
      </c>
      <c r="L176" s="8">
        <v>55.1593731066551</v>
      </c>
      <c r="M176" s="8">
        <v>1.81863650273981</v>
      </c>
    </row>
    <row r="177" spans="1:17">
      <c r="A177" s="8" t="s">
        <v>210</v>
      </c>
      <c r="B177" s="8" t="s">
        <v>200</v>
      </c>
      <c r="C177" s="8" t="s">
        <v>95</v>
      </c>
      <c r="D177" s="8">
        <v>0</v>
      </c>
      <c r="E177" s="8">
        <v>1.10871375363357</v>
      </c>
      <c r="F177" s="8">
        <v>10.8124668995396</v>
      </c>
      <c r="G177" s="8">
        <v>3.67948734949345</v>
      </c>
      <c r="H177" s="8">
        <v>0</v>
      </c>
      <c r="I177" s="8">
        <v>0</v>
      </c>
      <c r="J177" s="8">
        <v>113.918701033269</v>
      </c>
      <c r="K177" s="8">
        <v>4.20101646179445</v>
      </c>
      <c r="L177" s="8">
        <v>5.54250620841741</v>
      </c>
      <c r="M177" s="8">
        <v>6.42900743384394</v>
      </c>
    </row>
    <row r="178" spans="1:17">
      <c r="A178" s="8" t="s">
        <v>210</v>
      </c>
      <c r="B178" s="8" t="s">
        <v>200</v>
      </c>
      <c r="C178" s="8" t="s">
        <v>93</v>
      </c>
      <c r="D178" s="8">
        <v>0</v>
      </c>
      <c r="E178" s="8">
        <v>0</v>
      </c>
      <c r="F178" s="8">
        <v>0</v>
      </c>
      <c r="G178" s="8">
        <v>3.58339062708438</v>
      </c>
      <c r="H178" s="8">
        <v>0</v>
      </c>
      <c r="I178" s="8">
        <v>2.79097392940605</v>
      </c>
      <c r="J178" s="8">
        <v>215.84456164433</v>
      </c>
      <c r="K178" s="8">
        <v>14.236013852322</v>
      </c>
      <c r="L178" s="8">
        <v>16.5052572593419</v>
      </c>
      <c r="M178" s="8">
        <v>2.74419184197446</v>
      </c>
    </row>
    <row r="179" spans="1:17">
      <c r="A179" s="8" t="s">
        <v>210</v>
      </c>
      <c r="B179" s="8" t="s">
        <v>200</v>
      </c>
      <c r="C179" s="8" t="s">
        <v>96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7">
      <c r="A180" s="8" t="s">
        <v>210</v>
      </c>
      <c r="B180" s="8" t="s">
        <v>200</v>
      </c>
      <c r="C180" s="8" t="s">
        <v>94</v>
      </c>
      <c r="D180" s="8">
        <v>0</v>
      </c>
      <c r="E180" s="8">
        <v>2.33274746772987</v>
      </c>
      <c r="F180" s="8">
        <v>12.4356846968377</v>
      </c>
      <c r="G180" s="8">
        <v>33.6638722589933</v>
      </c>
      <c r="H180" s="8">
        <v>20.496506258888</v>
      </c>
      <c r="I180" s="8">
        <v>5.34786667087354</v>
      </c>
      <c r="J180" s="8">
        <v>58.774336178458</v>
      </c>
      <c r="K180" s="8">
        <v>5.93595285559694</v>
      </c>
      <c r="L180" s="8">
        <v>13.5035630257319</v>
      </c>
      <c r="M180" s="8">
        <v>39.4640786068745</v>
      </c>
    </row>
    <row r="181" spans="1:17">
      <c r="A181" s="8" t="s">
        <v>210</v>
      </c>
      <c r="B181" s="8" t="s">
        <v>201</v>
      </c>
      <c r="C181" s="8" t="s">
        <v>202</v>
      </c>
      <c r="D181" s="8">
        <v>0</v>
      </c>
      <c r="E181" s="8">
        <v>0</v>
      </c>
      <c r="F181" s="8">
        <v>0</v>
      </c>
      <c r="G181" s="8">
        <v>4.09042632451643</v>
      </c>
      <c r="H181" s="8">
        <v>0</v>
      </c>
      <c r="I181" s="8">
        <v>1.25593830835656</v>
      </c>
      <c r="J181" s="8">
        <v>14.1715601065257</v>
      </c>
      <c r="K181" s="8">
        <v>1.99303883637035</v>
      </c>
      <c r="L181" s="8">
        <v>18.9831582256782</v>
      </c>
      <c r="M181" s="8">
        <v>53.0918179448326</v>
      </c>
    </row>
    <row r="183" spans="1:17">
      <c r="N183" s="11" t="s">
        <v>203</v>
      </c>
      <c r="O183" s="11" t="s">
        <v>203</v>
      </c>
      <c r="P183" s="11" t="s">
        <v>204</v>
      </c>
      <c r="Q183" s="11" t="s">
        <v>204</v>
      </c>
    </row>
    <row r="184" spans="1:17">
      <c r="B184" s="8" t="s">
        <v>210</v>
      </c>
      <c r="C184" s="8" t="s">
        <v>188</v>
      </c>
      <c r="D184" s="8">
        <f t="shared" ref="D184:M184" si="87">D167</f>
        <v>0</v>
      </c>
      <c r="E184" s="8">
        <f t="shared" si="87"/>
        <v>0</v>
      </c>
      <c r="F184" s="8">
        <f t="shared" si="87"/>
        <v>0</v>
      </c>
      <c r="G184" s="8">
        <f t="shared" si="87"/>
        <v>0</v>
      </c>
      <c r="H184" s="8">
        <f t="shared" si="87"/>
        <v>0</v>
      </c>
      <c r="I184" s="8">
        <f t="shared" si="87"/>
        <v>0</v>
      </c>
      <c r="J184" s="8">
        <f t="shared" si="87"/>
        <v>0</v>
      </c>
      <c r="K184" s="8">
        <f t="shared" si="87"/>
        <v>0</v>
      </c>
      <c r="L184" s="8">
        <f t="shared" si="87"/>
        <v>0</v>
      </c>
      <c r="M184" s="8">
        <f t="shared" si="87"/>
        <v>0</v>
      </c>
      <c r="N184" s="8">
        <f t="shared" ref="N184:N191" si="88">AVERAGE(D184:H184)</f>
        <v>0</v>
      </c>
      <c r="O184" s="8">
        <f t="shared" ref="O184:O191" si="89">AVERAGE(I184:M184)</f>
        <v>0</v>
      </c>
      <c r="P184" s="8">
        <f t="shared" ref="P184:P191" si="90">LOG(N184+1,2)</f>
        <v>0</v>
      </c>
      <c r="Q184" s="8">
        <f t="shared" ref="Q184:Q191" si="91">LOG(O184+1,2)</f>
        <v>0</v>
      </c>
    </row>
    <row r="185" spans="1:17">
      <c r="B185" s="8" t="s">
        <v>210</v>
      </c>
      <c r="C185" s="8" t="s">
        <v>190</v>
      </c>
      <c r="D185" s="8">
        <f t="shared" ref="D185:M185" si="92">D168</f>
        <v>0</v>
      </c>
      <c r="E185" s="8">
        <f t="shared" si="92"/>
        <v>0</v>
      </c>
      <c r="F185" s="8">
        <f t="shared" si="92"/>
        <v>0</v>
      </c>
      <c r="G185" s="8">
        <f t="shared" si="92"/>
        <v>0</v>
      </c>
      <c r="H185" s="8">
        <f t="shared" si="92"/>
        <v>0</v>
      </c>
      <c r="I185" s="8">
        <f t="shared" si="92"/>
        <v>0</v>
      </c>
      <c r="J185" s="8">
        <f t="shared" si="92"/>
        <v>0</v>
      </c>
      <c r="K185" s="8">
        <f t="shared" si="92"/>
        <v>0</v>
      </c>
      <c r="L185" s="8">
        <f t="shared" si="92"/>
        <v>0</v>
      </c>
      <c r="M185" s="8">
        <f t="shared" si="92"/>
        <v>0</v>
      </c>
      <c r="N185" s="8">
        <f t="shared" si="88"/>
        <v>0</v>
      </c>
      <c r="O185" s="8">
        <f t="shared" si="89"/>
        <v>0</v>
      </c>
      <c r="P185" s="8">
        <f t="shared" si="90"/>
        <v>0</v>
      </c>
      <c r="Q185" s="8">
        <f t="shared" si="91"/>
        <v>0</v>
      </c>
    </row>
    <row r="186" spans="1:17">
      <c r="B186" s="8" t="s">
        <v>210</v>
      </c>
      <c r="C186" s="8" t="s">
        <v>192</v>
      </c>
      <c r="D186" s="8">
        <f t="shared" ref="D186:M186" si="93">D169+D170</f>
        <v>0</v>
      </c>
      <c r="E186" s="8">
        <f t="shared" si="93"/>
        <v>0</v>
      </c>
      <c r="F186" s="8">
        <f t="shared" si="93"/>
        <v>0</v>
      </c>
      <c r="G186" s="8">
        <f t="shared" si="93"/>
        <v>0</v>
      </c>
      <c r="H186" s="8">
        <f t="shared" si="93"/>
        <v>0</v>
      </c>
      <c r="I186" s="8">
        <f t="shared" si="93"/>
        <v>0</v>
      </c>
      <c r="J186" s="8">
        <f t="shared" si="93"/>
        <v>0</v>
      </c>
      <c r="K186" s="8">
        <f t="shared" si="93"/>
        <v>0</v>
      </c>
      <c r="L186" s="8">
        <f t="shared" si="93"/>
        <v>0</v>
      </c>
      <c r="M186" s="8">
        <f t="shared" si="93"/>
        <v>0</v>
      </c>
      <c r="N186" s="8">
        <f t="shared" si="88"/>
        <v>0</v>
      </c>
      <c r="O186" s="8">
        <f t="shared" si="89"/>
        <v>0</v>
      </c>
      <c r="P186" s="8">
        <f t="shared" si="90"/>
        <v>0</v>
      </c>
      <c r="Q186" s="8">
        <f t="shared" si="91"/>
        <v>0</v>
      </c>
    </row>
    <row r="187" spans="1:17">
      <c r="B187" s="8" t="s">
        <v>210</v>
      </c>
      <c r="C187" s="8" t="s">
        <v>195</v>
      </c>
      <c r="D187" s="8">
        <f t="shared" ref="D187:M187" si="94">SUM(D171:D172)</f>
        <v>0</v>
      </c>
      <c r="E187" s="8">
        <f t="shared" si="94"/>
        <v>0</v>
      </c>
      <c r="F187" s="8">
        <f t="shared" si="94"/>
        <v>0</v>
      </c>
      <c r="G187" s="8">
        <f t="shared" si="94"/>
        <v>0</v>
      </c>
      <c r="H187" s="8">
        <f t="shared" si="94"/>
        <v>0</v>
      </c>
      <c r="I187" s="8">
        <f t="shared" si="94"/>
        <v>0</v>
      </c>
      <c r="J187" s="8">
        <f t="shared" si="94"/>
        <v>0</v>
      </c>
      <c r="K187" s="8">
        <f t="shared" si="94"/>
        <v>0</v>
      </c>
      <c r="L187" s="8">
        <f t="shared" si="94"/>
        <v>0</v>
      </c>
      <c r="M187" s="8">
        <f t="shared" si="94"/>
        <v>0</v>
      </c>
      <c r="N187" s="8">
        <f t="shared" si="88"/>
        <v>0</v>
      </c>
      <c r="O187" s="8">
        <f t="shared" si="89"/>
        <v>0</v>
      </c>
      <c r="P187" s="8">
        <f t="shared" si="90"/>
        <v>0</v>
      </c>
      <c r="Q187" s="8">
        <f t="shared" si="91"/>
        <v>0</v>
      </c>
    </row>
    <row r="188" spans="1:17">
      <c r="B188" s="8" t="s">
        <v>210</v>
      </c>
      <c r="C188" s="8" t="s">
        <v>198</v>
      </c>
      <c r="D188" s="8">
        <f t="shared" ref="D188:M188" si="95">D173</f>
        <v>0</v>
      </c>
      <c r="E188" s="8">
        <f t="shared" si="95"/>
        <v>0</v>
      </c>
      <c r="F188" s="8">
        <f t="shared" si="95"/>
        <v>0</v>
      </c>
      <c r="G188" s="8">
        <f t="shared" si="95"/>
        <v>0</v>
      </c>
      <c r="H188" s="8">
        <f t="shared" si="95"/>
        <v>0</v>
      </c>
      <c r="I188" s="8">
        <f t="shared" si="95"/>
        <v>0</v>
      </c>
      <c r="J188" s="8">
        <f t="shared" si="95"/>
        <v>0</v>
      </c>
      <c r="K188" s="8">
        <f t="shared" si="95"/>
        <v>0</v>
      </c>
      <c r="L188" s="8">
        <f t="shared" si="95"/>
        <v>0</v>
      </c>
      <c r="M188" s="8">
        <f t="shared" si="95"/>
        <v>0</v>
      </c>
      <c r="N188" s="8">
        <f t="shared" si="88"/>
        <v>0</v>
      </c>
      <c r="O188" s="8">
        <f t="shared" si="89"/>
        <v>0</v>
      </c>
      <c r="P188" s="8">
        <f t="shared" si="90"/>
        <v>0</v>
      </c>
      <c r="Q188" s="8">
        <f t="shared" si="91"/>
        <v>0</v>
      </c>
    </row>
    <row r="189" spans="1:17">
      <c r="B189" s="8" t="s">
        <v>210</v>
      </c>
      <c r="C189" s="8" t="s">
        <v>36</v>
      </c>
      <c r="D189" s="8">
        <f t="shared" ref="D189:M189" si="96">D174</f>
        <v>0</v>
      </c>
      <c r="E189" s="8">
        <f t="shared" si="96"/>
        <v>0</v>
      </c>
      <c r="F189" s="8">
        <f t="shared" si="96"/>
        <v>0</v>
      </c>
      <c r="G189" s="8">
        <f t="shared" si="96"/>
        <v>0</v>
      </c>
      <c r="H189" s="8">
        <f t="shared" si="96"/>
        <v>0</v>
      </c>
      <c r="I189" s="8">
        <f t="shared" si="96"/>
        <v>0</v>
      </c>
      <c r="J189" s="8">
        <f t="shared" si="96"/>
        <v>0</v>
      </c>
      <c r="K189" s="8">
        <f t="shared" si="96"/>
        <v>0</v>
      </c>
      <c r="L189" s="8">
        <f t="shared" si="96"/>
        <v>0</v>
      </c>
      <c r="M189" s="8">
        <f t="shared" si="96"/>
        <v>0</v>
      </c>
      <c r="N189" s="8">
        <f t="shared" si="88"/>
        <v>0</v>
      </c>
      <c r="O189" s="8">
        <f t="shared" si="89"/>
        <v>0</v>
      </c>
      <c r="P189" s="8">
        <f t="shared" si="90"/>
        <v>0</v>
      </c>
      <c r="Q189" s="8">
        <f t="shared" si="91"/>
        <v>0</v>
      </c>
    </row>
    <row r="190" spans="1:17">
      <c r="B190" s="8" t="s">
        <v>210</v>
      </c>
      <c r="C190" s="8" t="s">
        <v>200</v>
      </c>
      <c r="D190" s="8">
        <f t="shared" ref="D190:M190" si="97">SUM(D175:D180)</f>
        <v>0</v>
      </c>
      <c r="E190" s="8">
        <f t="shared" si="97"/>
        <v>6.77990224160834</v>
      </c>
      <c r="F190" s="8">
        <f t="shared" si="97"/>
        <v>23.4688446607326</v>
      </c>
      <c r="G190" s="8">
        <f t="shared" si="97"/>
        <v>49.8090567127271</v>
      </c>
      <c r="H190" s="8">
        <f t="shared" si="97"/>
        <v>20.496506258888</v>
      </c>
      <c r="I190" s="8">
        <f t="shared" si="97"/>
        <v>23.2100772855595</v>
      </c>
      <c r="J190" s="8">
        <f t="shared" si="97"/>
        <v>439.426321349603</v>
      </c>
      <c r="K190" s="8">
        <f t="shared" si="97"/>
        <v>52.2846856061255</v>
      </c>
      <c r="L190" s="8">
        <f t="shared" si="97"/>
        <v>91.9333124096386</v>
      </c>
      <c r="M190" s="8">
        <f t="shared" si="97"/>
        <v>50.4559143854327</v>
      </c>
      <c r="N190" s="8">
        <f t="shared" si="88"/>
        <v>20.1108619747912</v>
      </c>
      <c r="O190" s="8">
        <f t="shared" si="89"/>
        <v>131.462062207272</v>
      </c>
      <c r="P190" s="8">
        <f t="shared" si="90"/>
        <v>4.39991358126397</v>
      </c>
      <c r="Q190" s="8">
        <f t="shared" si="91"/>
        <v>7.04943541358236</v>
      </c>
    </row>
    <row r="191" spans="1:17">
      <c r="B191" s="8" t="s">
        <v>210</v>
      </c>
      <c r="C191" s="8" t="s">
        <v>201</v>
      </c>
      <c r="D191" s="8">
        <f t="shared" ref="D191:M191" si="98">D181</f>
        <v>0</v>
      </c>
      <c r="E191" s="8">
        <f t="shared" si="98"/>
        <v>0</v>
      </c>
      <c r="F191" s="8">
        <f t="shared" si="98"/>
        <v>0</v>
      </c>
      <c r="G191" s="8">
        <f t="shared" si="98"/>
        <v>4.09042632451643</v>
      </c>
      <c r="H191" s="8">
        <f t="shared" si="98"/>
        <v>0</v>
      </c>
      <c r="I191" s="8">
        <f t="shared" si="98"/>
        <v>1.25593830835656</v>
      </c>
      <c r="J191" s="8">
        <f t="shared" si="98"/>
        <v>14.1715601065257</v>
      </c>
      <c r="K191" s="8">
        <f t="shared" si="98"/>
        <v>1.99303883637035</v>
      </c>
      <c r="L191" s="8">
        <f t="shared" si="98"/>
        <v>18.9831582256782</v>
      </c>
      <c r="M191" s="8">
        <f t="shared" si="98"/>
        <v>53.0918179448326</v>
      </c>
      <c r="N191" s="8">
        <f t="shared" si="88"/>
        <v>0.818085264903287</v>
      </c>
      <c r="O191" s="8">
        <f t="shared" si="89"/>
        <v>17.8991026843527</v>
      </c>
      <c r="P191" s="8">
        <f t="shared" si="90"/>
        <v>0.862419860900879</v>
      </c>
      <c r="Q191" s="8">
        <f t="shared" si="91"/>
        <v>4.24024583284872</v>
      </c>
    </row>
    <row r="194" spans="1:13">
      <c r="A194" s="8" t="s">
        <v>211</v>
      </c>
      <c r="B194" s="8" t="s">
        <v>188</v>
      </c>
      <c r="C194" s="8" t="s">
        <v>189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</row>
    <row r="195" spans="1:13">
      <c r="A195" s="8" t="s">
        <v>211</v>
      </c>
      <c r="B195" s="8" t="s">
        <v>190</v>
      </c>
      <c r="C195" s="8" t="s">
        <v>191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</row>
    <row r="196" spans="1:13">
      <c r="A196" s="8" t="s">
        <v>211</v>
      </c>
      <c r="B196" s="8" t="s">
        <v>192</v>
      </c>
      <c r="C196" s="8" t="s">
        <v>193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</row>
    <row r="197" spans="1:13">
      <c r="A197" s="8" t="s">
        <v>211</v>
      </c>
      <c r="B197" s="8" t="s">
        <v>192</v>
      </c>
      <c r="C197" s="8" t="s">
        <v>194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</row>
    <row r="198" spans="1:13">
      <c r="A198" s="8" t="s">
        <v>211</v>
      </c>
      <c r="B198" s="8" t="s">
        <v>195</v>
      </c>
      <c r="C198" s="8" t="s">
        <v>196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</row>
    <row r="199" spans="1:13">
      <c r="A199" s="8" t="s">
        <v>211</v>
      </c>
      <c r="B199" s="8" t="s">
        <v>195</v>
      </c>
      <c r="C199" s="8" t="s">
        <v>197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</row>
    <row r="200" spans="1:13">
      <c r="A200" s="8" t="s">
        <v>211</v>
      </c>
      <c r="B200" s="8" t="s">
        <v>198</v>
      </c>
      <c r="C200" s="8" t="s">
        <v>199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</row>
    <row r="201" spans="1:13">
      <c r="A201" s="8" t="s">
        <v>211</v>
      </c>
      <c r="B201" s="8" t="s">
        <v>36</v>
      </c>
      <c r="C201" s="8" t="s">
        <v>130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</row>
    <row r="202" spans="1:13">
      <c r="A202" s="8" t="s">
        <v>211</v>
      </c>
      <c r="B202" s="8" t="s">
        <v>200</v>
      </c>
      <c r="C202" s="8" t="s">
        <v>97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6.33819214443008</v>
      </c>
      <c r="K202" s="8">
        <v>8.17401087956338</v>
      </c>
      <c r="L202" s="8">
        <v>1.91365603745252</v>
      </c>
      <c r="M202" s="8">
        <v>0</v>
      </c>
    </row>
    <row r="203" spans="1:13">
      <c r="A203" s="8" t="s">
        <v>211</v>
      </c>
      <c r="B203" s="8" t="s">
        <v>200</v>
      </c>
      <c r="C203" s="8" t="s">
        <v>98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</row>
    <row r="204" spans="1:13">
      <c r="A204" s="8" t="s">
        <v>211</v>
      </c>
      <c r="B204" s="8" t="s">
        <v>200</v>
      </c>
      <c r="C204" s="8" t="s">
        <v>95</v>
      </c>
      <c r="D204" s="8">
        <v>0</v>
      </c>
      <c r="E204" s="8">
        <v>0</v>
      </c>
      <c r="F204" s="8">
        <v>0</v>
      </c>
      <c r="G204" s="8">
        <v>11.0486012155787</v>
      </c>
      <c r="H204" s="8">
        <v>0</v>
      </c>
      <c r="I204" s="8">
        <v>0</v>
      </c>
      <c r="J204" s="8">
        <v>0</v>
      </c>
      <c r="K204" s="8">
        <v>13.0367118733623</v>
      </c>
      <c r="L204" s="8">
        <v>5.04633573983135</v>
      </c>
      <c r="M204" s="8">
        <v>10.2362917535874</v>
      </c>
    </row>
    <row r="205" spans="1:13">
      <c r="A205" s="8" t="s">
        <v>211</v>
      </c>
      <c r="B205" s="8" t="s">
        <v>200</v>
      </c>
      <c r="C205" s="8" t="s">
        <v>93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</row>
    <row r="206" spans="1:13">
      <c r="A206" s="8" t="s">
        <v>211</v>
      </c>
      <c r="B206" s="8" t="s">
        <v>200</v>
      </c>
      <c r="C206" s="8" t="s">
        <v>96</v>
      </c>
      <c r="D206" s="8">
        <v>0</v>
      </c>
      <c r="E206" s="8">
        <v>0</v>
      </c>
      <c r="F206" s="8">
        <v>0</v>
      </c>
      <c r="G206" s="8">
        <v>17.1190111214168</v>
      </c>
      <c r="H206" s="8">
        <v>0</v>
      </c>
      <c r="I206" s="8">
        <v>6.6983380857296</v>
      </c>
      <c r="J206" s="8">
        <v>0</v>
      </c>
      <c r="K206" s="8">
        <v>16.4042541843794</v>
      </c>
      <c r="L206" s="8">
        <v>3.17551212766448</v>
      </c>
      <c r="M206" s="8">
        <v>16.786340701937</v>
      </c>
    </row>
    <row r="207" spans="1:13">
      <c r="A207" s="8" t="s">
        <v>211</v>
      </c>
      <c r="B207" s="8" t="s">
        <v>200</v>
      </c>
      <c r="C207" s="8" t="s">
        <v>94</v>
      </c>
      <c r="D207" s="8">
        <v>0</v>
      </c>
      <c r="E207" s="8">
        <v>0</v>
      </c>
      <c r="F207" s="8">
        <v>0</v>
      </c>
      <c r="G207" s="8">
        <v>3.48792202677245</v>
      </c>
      <c r="H207" s="8">
        <v>0</v>
      </c>
      <c r="I207" s="8">
        <v>3.44092649083196</v>
      </c>
      <c r="J207" s="8">
        <v>0</v>
      </c>
      <c r="K207" s="8">
        <v>20.6137319911121</v>
      </c>
      <c r="L207" s="8">
        <v>2.95095288061919</v>
      </c>
      <c r="M207" s="8">
        <v>3.02861008191536</v>
      </c>
    </row>
    <row r="208" spans="1:13">
      <c r="A208" s="8" t="s">
        <v>211</v>
      </c>
      <c r="B208" s="8" t="s">
        <v>201</v>
      </c>
      <c r="C208" s="8" t="s">
        <v>202</v>
      </c>
      <c r="D208" s="8">
        <v>0</v>
      </c>
      <c r="E208" s="8">
        <v>0</v>
      </c>
      <c r="F208" s="8">
        <v>0</v>
      </c>
      <c r="G208" s="8">
        <v>27.0410771472717</v>
      </c>
      <c r="H208" s="8">
        <v>0</v>
      </c>
      <c r="I208" s="8">
        <v>20.9323018223937</v>
      </c>
      <c r="J208" s="8">
        <v>0</v>
      </c>
      <c r="K208" s="8">
        <v>0</v>
      </c>
      <c r="L208" s="8">
        <v>40.9058814411992</v>
      </c>
      <c r="M208" s="8">
        <v>20.7339479859961</v>
      </c>
    </row>
    <row r="210" spans="1:17">
      <c r="N210" s="11" t="s">
        <v>203</v>
      </c>
      <c r="O210" s="11" t="s">
        <v>203</v>
      </c>
      <c r="P210" s="11" t="s">
        <v>204</v>
      </c>
      <c r="Q210" s="11" t="s">
        <v>204</v>
      </c>
    </row>
    <row r="211" spans="1:17">
      <c r="B211" s="8" t="s">
        <v>211</v>
      </c>
      <c r="C211" s="8" t="s">
        <v>188</v>
      </c>
      <c r="D211" s="8">
        <f t="shared" ref="D211:M211" si="99">D194</f>
        <v>0</v>
      </c>
      <c r="E211" s="8">
        <f t="shared" si="99"/>
        <v>0</v>
      </c>
      <c r="F211" s="8">
        <f t="shared" si="99"/>
        <v>0</v>
      </c>
      <c r="G211" s="8">
        <f t="shared" si="99"/>
        <v>0</v>
      </c>
      <c r="H211" s="8">
        <f t="shared" si="99"/>
        <v>0</v>
      </c>
      <c r="I211" s="8">
        <f t="shared" si="99"/>
        <v>0</v>
      </c>
      <c r="J211" s="8">
        <f t="shared" si="99"/>
        <v>0</v>
      </c>
      <c r="K211" s="8">
        <f t="shared" si="99"/>
        <v>0</v>
      </c>
      <c r="L211" s="8">
        <f t="shared" si="99"/>
        <v>0</v>
      </c>
      <c r="M211" s="8">
        <f t="shared" si="99"/>
        <v>0</v>
      </c>
      <c r="N211" s="8">
        <f t="shared" ref="N211:N218" si="100">AVERAGE(D211:H211)</f>
        <v>0</v>
      </c>
      <c r="O211" s="8">
        <f t="shared" ref="O211:O218" si="101">AVERAGE(I211:M211)</f>
        <v>0</v>
      </c>
      <c r="P211" s="8">
        <f t="shared" ref="P211:P218" si="102">LOG(N211+1,2)</f>
        <v>0</v>
      </c>
      <c r="Q211" s="8">
        <f t="shared" ref="Q211:Q218" si="103">LOG(O211+1,2)</f>
        <v>0</v>
      </c>
    </row>
    <row r="212" spans="1:17">
      <c r="B212" s="8" t="s">
        <v>211</v>
      </c>
      <c r="C212" s="8" t="s">
        <v>190</v>
      </c>
      <c r="D212" s="8">
        <f t="shared" ref="D212:M212" si="104">D195</f>
        <v>0</v>
      </c>
      <c r="E212" s="8">
        <f t="shared" si="104"/>
        <v>0</v>
      </c>
      <c r="F212" s="8">
        <f t="shared" si="104"/>
        <v>0</v>
      </c>
      <c r="G212" s="8">
        <f t="shared" si="104"/>
        <v>0</v>
      </c>
      <c r="H212" s="8">
        <f t="shared" si="104"/>
        <v>0</v>
      </c>
      <c r="I212" s="8">
        <f t="shared" si="104"/>
        <v>0</v>
      </c>
      <c r="J212" s="8">
        <f t="shared" si="104"/>
        <v>0</v>
      </c>
      <c r="K212" s="8">
        <f t="shared" si="104"/>
        <v>0</v>
      </c>
      <c r="L212" s="8">
        <f t="shared" si="104"/>
        <v>0</v>
      </c>
      <c r="M212" s="8">
        <f t="shared" si="104"/>
        <v>0</v>
      </c>
      <c r="N212" s="8">
        <f t="shared" si="100"/>
        <v>0</v>
      </c>
      <c r="O212" s="8">
        <f t="shared" si="101"/>
        <v>0</v>
      </c>
      <c r="P212" s="8">
        <f t="shared" si="102"/>
        <v>0</v>
      </c>
      <c r="Q212" s="8">
        <f t="shared" si="103"/>
        <v>0</v>
      </c>
    </row>
    <row r="213" spans="1:17">
      <c r="B213" s="8" t="s">
        <v>211</v>
      </c>
      <c r="C213" s="8" t="s">
        <v>192</v>
      </c>
      <c r="D213" s="8">
        <f t="shared" ref="D213:M213" si="105">D196+D197</f>
        <v>0</v>
      </c>
      <c r="E213" s="8">
        <f t="shared" si="105"/>
        <v>0</v>
      </c>
      <c r="F213" s="8">
        <f t="shared" si="105"/>
        <v>0</v>
      </c>
      <c r="G213" s="8">
        <f t="shared" si="105"/>
        <v>0</v>
      </c>
      <c r="H213" s="8">
        <f t="shared" si="105"/>
        <v>0</v>
      </c>
      <c r="I213" s="8">
        <f t="shared" si="105"/>
        <v>0</v>
      </c>
      <c r="J213" s="8">
        <f t="shared" si="105"/>
        <v>0</v>
      </c>
      <c r="K213" s="8">
        <f t="shared" si="105"/>
        <v>0</v>
      </c>
      <c r="L213" s="8">
        <f t="shared" si="105"/>
        <v>0</v>
      </c>
      <c r="M213" s="8">
        <f t="shared" si="105"/>
        <v>0</v>
      </c>
      <c r="N213" s="8">
        <f t="shared" si="100"/>
        <v>0</v>
      </c>
      <c r="O213" s="8">
        <f t="shared" si="101"/>
        <v>0</v>
      </c>
      <c r="P213" s="8">
        <f t="shared" si="102"/>
        <v>0</v>
      </c>
      <c r="Q213" s="8">
        <f t="shared" si="103"/>
        <v>0</v>
      </c>
    </row>
    <row r="214" spans="1:17">
      <c r="B214" s="8" t="s">
        <v>211</v>
      </c>
      <c r="C214" s="8" t="s">
        <v>195</v>
      </c>
      <c r="D214" s="8">
        <f t="shared" ref="D214:M214" si="106">SUM(D198:D199)</f>
        <v>0</v>
      </c>
      <c r="E214" s="8">
        <f t="shared" si="106"/>
        <v>0</v>
      </c>
      <c r="F214" s="8">
        <f t="shared" si="106"/>
        <v>0</v>
      </c>
      <c r="G214" s="8">
        <f t="shared" si="106"/>
        <v>0</v>
      </c>
      <c r="H214" s="8">
        <f t="shared" si="106"/>
        <v>0</v>
      </c>
      <c r="I214" s="8">
        <f t="shared" si="106"/>
        <v>0</v>
      </c>
      <c r="J214" s="8">
        <f t="shared" si="106"/>
        <v>0</v>
      </c>
      <c r="K214" s="8">
        <f t="shared" si="106"/>
        <v>0</v>
      </c>
      <c r="L214" s="8">
        <f t="shared" si="106"/>
        <v>0</v>
      </c>
      <c r="M214" s="8">
        <f t="shared" si="106"/>
        <v>0</v>
      </c>
      <c r="N214" s="8">
        <f t="shared" si="100"/>
        <v>0</v>
      </c>
      <c r="O214" s="8">
        <f t="shared" si="101"/>
        <v>0</v>
      </c>
      <c r="P214" s="8">
        <f t="shared" si="102"/>
        <v>0</v>
      </c>
      <c r="Q214" s="8">
        <f t="shared" si="103"/>
        <v>0</v>
      </c>
    </row>
    <row r="215" spans="1:17">
      <c r="B215" s="8" t="s">
        <v>211</v>
      </c>
      <c r="C215" s="8" t="s">
        <v>198</v>
      </c>
      <c r="D215" s="8">
        <f t="shared" ref="D215:M215" si="107">D200</f>
        <v>0</v>
      </c>
      <c r="E215" s="8">
        <f t="shared" si="107"/>
        <v>0</v>
      </c>
      <c r="F215" s="8">
        <f t="shared" si="107"/>
        <v>0</v>
      </c>
      <c r="G215" s="8">
        <f t="shared" si="107"/>
        <v>0</v>
      </c>
      <c r="H215" s="8">
        <f t="shared" si="107"/>
        <v>0</v>
      </c>
      <c r="I215" s="8">
        <f t="shared" si="107"/>
        <v>0</v>
      </c>
      <c r="J215" s="8">
        <f t="shared" si="107"/>
        <v>0</v>
      </c>
      <c r="K215" s="8">
        <f t="shared" si="107"/>
        <v>0</v>
      </c>
      <c r="L215" s="8">
        <f t="shared" si="107"/>
        <v>0</v>
      </c>
      <c r="M215" s="8">
        <f t="shared" si="107"/>
        <v>0</v>
      </c>
      <c r="N215" s="8">
        <f t="shared" si="100"/>
        <v>0</v>
      </c>
      <c r="O215" s="8">
        <f t="shared" si="101"/>
        <v>0</v>
      </c>
      <c r="P215" s="8">
        <f t="shared" si="102"/>
        <v>0</v>
      </c>
      <c r="Q215" s="8">
        <f t="shared" si="103"/>
        <v>0</v>
      </c>
    </row>
    <row r="216" spans="1:17">
      <c r="B216" s="8" t="s">
        <v>211</v>
      </c>
      <c r="C216" s="8" t="s">
        <v>36</v>
      </c>
      <c r="D216" s="8">
        <f t="shared" ref="D216:M216" si="108">D201</f>
        <v>0</v>
      </c>
      <c r="E216" s="8">
        <f t="shared" si="108"/>
        <v>0</v>
      </c>
      <c r="F216" s="8">
        <f t="shared" si="108"/>
        <v>0</v>
      </c>
      <c r="G216" s="8">
        <f t="shared" si="108"/>
        <v>0</v>
      </c>
      <c r="H216" s="8">
        <f t="shared" si="108"/>
        <v>0</v>
      </c>
      <c r="I216" s="8">
        <f t="shared" si="108"/>
        <v>0</v>
      </c>
      <c r="J216" s="8">
        <f t="shared" si="108"/>
        <v>0</v>
      </c>
      <c r="K216" s="8">
        <f t="shared" si="108"/>
        <v>0</v>
      </c>
      <c r="L216" s="8">
        <f t="shared" si="108"/>
        <v>0</v>
      </c>
      <c r="M216" s="8">
        <f t="shared" si="108"/>
        <v>0</v>
      </c>
      <c r="N216" s="8">
        <f t="shared" si="100"/>
        <v>0</v>
      </c>
      <c r="O216" s="8">
        <f t="shared" si="101"/>
        <v>0</v>
      </c>
      <c r="P216" s="8">
        <f t="shared" si="102"/>
        <v>0</v>
      </c>
      <c r="Q216" s="8">
        <f t="shared" si="103"/>
        <v>0</v>
      </c>
    </row>
    <row r="217" spans="1:17">
      <c r="B217" s="8" t="s">
        <v>211</v>
      </c>
      <c r="C217" s="8" t="s">
        <v>200</v>
      </c>
      <c r="D217" s="8">
        <f t="shared" ref="D217:M217" si="109">SUM(D202:D207)</f>
        <v>0</v>
      </c>
      <c r="E217" s="8">
        <f t="shared" si="109"/>
        <v>0</v>
      </c>
      <c r="F217" s="8">
        <f t="shared" si="109"/>
        <v>0</v>
      </c>
      <c r="G217" s="8">
        <f t="shared" si="109"/>
        <v>31.6555343637679</v>
      </c>
      <c r="H217" s="8">
        <f t="shared" si="109"/>
        <v>0</v>
      </c>
      <c r="I217" s="8">
        <f t="shared" si="109"/>
        <v>10.1392645765616</v>
      </c>
      <c r="J217" s="8">
        <f t="shared" si="109"/>
        <v>6.33819214443008</v>
      </c>
      <c r="K217" s="8">
        <f t="shared" si="109"/>
        <v>58.2287089284172</v>
      </c>
      <c r="L217" s="8">
        <f t="shared" si="109"/>
        <v>13.0864567855675</v>
      </c>
      <c r="M217" s="8">
        <f t="shared" si="109"/>
        <v>30.0512425374397</v>
      </c>
      <c r="N217" s="8">
        <f t="shared" si="100"/>
        <v>6.33110687275358</v>
      </c>
      <c r="O217" s="8">
        <f t="shared" si="101"/>
        <v>23.5687729944832</v>
      </c>
      <c r="P217" s="8">
        <f t="shared" si="102"/>
        <v>2.87403103727799</v>
      </c>
      <c r="Q217" s="8">
        <f t="shared" si="103"/>
        <v>4.61875390378904</v>
      </c>
    </row>
    <row r="218" spans="1:17">
      <c r="B218" s="8" t="s">
        <v>211</v>
      </c>
      <c r="C218" s="8" t="s">
        <v>201</v>
      </c>
      <c r="D218" s="8">
        <f t="shared" ref="D218:M218" si="110">D208</f>
        <v>0</v>
      </c>
      <c r="E218" s="8">
        <f t="shared" si="110"/>
        <v>0</v>
      </c>
      <c r="F218" s="8">
        <f t="shared" si="110"/>
        <v>0</v>
      </c>
      <c r="G218" s="8">
        <f t="shared" si="110"/>
        <v>27.0410771472717</v>
      </c>
      <c r="H218" s="8">
        <f t="shared" si="110"/>
        <v>0</v>
      </c>
      <c r="I218" s="8">
        <f t="shared" si="110"/>
        <v>20.9323018223937</v>
      </c>
      <c r="J218" s="8">
        <f t="shared" si="110"/>
        <v>0</v>
      </c>
      <c r="K218" s="8">
        <f t="shared" si="110"/>
        <v>0</v>
      </c>
      <c r="L218" s="8">
        <f t="shared" si="110"/>
        <v>40.9058814411992</v>
      </c>
      <c r="M218" s="8">
        <f t="shared" si="110"/>
        <v>20.7339479859961</v>
      </c>
      <c r="N218" s="8">
        <f t="shared" si="100"/>
        <v>5.40821542945434</v>
      </c>
      <c r="O218" s="8">
        <f t="shared" si="101"/>
        <v>16.5144262499178</v>
      </c>
      <c r="P218" s="8">
        <f t="shared" si="102"/>
        <v>2.67992264864881</v>
      </c>
      <c r="Q218" s="8">
        <f t="shared" si="103"/>
        <v>4.13047182296704</v>
      </c>
    </row>
    <row r="221" spans="1:17">
      <c r="A221" s="8" t="s">
        <v>212</v>
      </c>
      <c r="B221" s="8" t="s">
        <v>188</v>
      </c>
      <c r="C221" s="8" t="s">
        <v>189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</row>
    <row r="222" spans="1:17">
      <c r="A222" s="8" t="s">
        <v>212</v>
      </c>
      <c r="B222" s="8" t="s">
        <v>190</v>
      </c>
      <c r="C222" s="8" t="s">
        <v>191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</row>
    <row r="223" spans="1:17">
      <c r="A223" s="8" t="s">
        <v>212</v>
      </c>
      <c r="B223" s="8" t="s">
        <v>192</v>
      </c>
      <c r="C223" s="8" t="s">
        <v>193</v>
      </c>
      <c r="D223" s="8">
        <v>0</v>
      </c>
      <c r="E223" s="8">
        <v>0</v>
      </c>
      <c r="F223" s="8">
        <v>0</v>
      </c>
      <c r="G223" s="8">
        <v>98.9259587980968</v>
      </c>
      <c r="H223" s="8">
        <v>0</v>
      </c>
      <c r="I223" s="8">
        <v>0</v>
      </c>
      <c r="J223" s="8">
        <v>0</v>
      </c>
      <c r="K223" s="8">
        <v>0</v>
      </c>
      <c r="L223" s="8">
        <v>6.78798774599947</v>
      </c>
      <c r="M223" s="8">
        <v>3.78246210527513</v>
      </c>
    </row>
    <row r="224" spans="1:17">
      <c r="A224" s="8" t="s">
        <v>212</v>
      </c>
      <c r="B224" s="8" t="s">
        <v>192</v>
      </c>
      <c r="C224" s="8" t="s">
        <v>194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</row>
    <row r="225" spans="1:17">
      <c r="A225" s="8" t="s">
        <v>212</v>
      </c>
      <c r="B225" s="8" t="s">
        <v>195</v>
      </c>
      <c r="C225" s="8" t="s">
        <v>196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</row>
    <row r="226" spans="1:17">
      <c r="A226" s="8" t="s">
        <v>212</v>
      </c>
      <c r="B226" s="8" t="s">
        <v>195</v>
      </c>
      <c r="C226" s="8" t="s">
        <v>197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</row>
    <row r="227" spans="1:17">
      <c r="A227" s="8" t="s">
        <v>212</v>
      </c>
      <c r="B227" s="8" t="s">
        <v>198</v>
      </c>
      <c r="C227" s="8" t="s">
        <v>199</v>
      </c>
      <c r="D227" s="8">
        <v>0</v>
      </c>
      <c r="E227" s="8">
        <v>0</v>
      </c>
      <c r="F227" s="8">
        <v>0</v>
      </c>
      <c r="G227" s="8">
        <v>65.9789483965039</v>
      </c>
      <c r="H227" s="8">
        <v>0</v>
      </c>
      <c r="I227" s="8">
        <v>0</v>
      </c>
      <c r="J227" s="8">
        <v>8.73544716792118</v>
      </c>
      <c r="K227" s="8">
        <v>0</v>
      </c>
      <c r="L227" s="8">
        <v>11.3381741020648</v>
      </c>
      <c r="M227" s="8">
        <v>0</v>
      </c>
    </row>
    <row r="228" spans="1:17">
      <c r="A228" s="8" t="s">
        <v>212</v>
      </c>
      <c r="B228" s="8" t="s">
        <v>36</v>
      </c>
      <c r="C228" s="8" t="s">
        <v>130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</row>
    <row r="229" spans="1:17">
      <c r="A229" s="8" t="s">
        <v>212</v>
      </c>
      <c r="B229" s="8" t="s">
        <v>200</v>
      </c>
      <c r="C229" s="8" t="s">
        <v>97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7.59158796085571</v>
      </c>
      <c r="K229" s="8">
        <v>8.10108842569538</v>
      </c>
      <c r="L229" s="8">
        <v>0</v>
      </c>
      <c r="M229" s="8">
        <v>0</v>
      </c>
    </row>
    <row r="230" spans="1:17">
      <c r="A230" s="8" t="s">
        <v>212</v>
      </c>
      <c r="B230" s="8" t="s">
        <v>200</v>
      </c>
      <c r="C230" s="8" t="s">
        <v>98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6.13984757160005</v>
      </c>
    </row>
    <row r="231" spans="1:17">
      <c r="A231" s="8" t="s">
        <v>212</v>
      </c>
      <c r="B231" s="8" t="s">
        <v>200</v>
      </c>
      <c r="C231" s="8" t="s">
        <v>95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21.700642335268</v>
      </c>
      <c r="L231" s="8">
        <v>0</v>
      </c>
      <c r="M231" s="8">
        <v>0</v>
      </c>
    </row>
    <row r="232" spans="1:17">
      <c r="A232" s="8" t="s">
        <v>212</v>
      </c>
      <c r="B232" s="8" t="s">
        <v>200</v>
      </c>
      <c r="C232" s="8" t="s">
        <v>93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4.28882258410256</v>
      </c>
      <c r="L232" s="8">
        <v>0</v>
      </c>
      <c r="M232" s="8">
        <v>0</v>
      </c>
    </row>
    <row r="233" spans="1:17">
      <c r="A233" s="8" t="s">
        <v>212</v>
      </c>
      <c r="B233" s="8" t="s">
        <v>200</v>
      </c>
      <c r="C233" s="8" t="s">
        <v>96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</row>
    <row r="234" spans="1:17">
      <c r="A234" s="8" t="s">
        <v>212</v>
      </c>
      <c r="B234" s="8" t="s">
        <v>200</v>
      </c>
      <c r="C234" s="8" t="s">
        <v>94</v>
      </c>
      <c r="D234" s="8">
        <v>0</v>
      </c>
      <c r="E234" s="8">
        <v>0</v>
      </c>
      <c r="F234" s="8">
        <v>0</v>
      </c>
      <c r="G234" s="8">
        <v>2.98680684886347</v>
      </c>
      <c r="H234" s="8">
        <v>1.60986234535633</v>
      </c>
      <c r="I234" s="8">
        <v>0</v>
      </c>
      <c r="J234" s="8">
        <v>0</v>
      </c>
      <c r="K234" s="8">
        <v>1.96358704217331</v>
      </c>
      <c r="L234" s="8">
        <v>3.11290098071602</v>
      </c>
      <c r="M234" s="8">
        <v>0</v>
      </c>
    </row>
    <row r="235" spans="1:17">
      <c r="A235" s="8" t="s">
        <v>212</v>
      </c>
      <c r="B235" s="8" t="s">
        <v>201</v>
      </c>
      <c r="C235" s="8" t="s">
        <v>202</v>
      </c>
      <c r="D235" s="8">
        <v>0</v>
      </c>
      <c r="E235" s="8">
        <v>0</v>
      </c>
      <c r="F235" s="8">
        <v>0.190775795168016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6.72824043671211</v>
      </c>
      <c r="M235" s="8">
        <v>0</v>
      </c>
    </row>
    <row r="237" spans="1:17">
      <c r="N237" s="11" t="s">
        <v>203</v>
      </c>
      <c r="O237" s="11" t="s">
        <v>203</v>
      </c>
      <c r="P237" s="11" t="s">
        <v>204</v>
      </c>
      <c r="Q237" s="11" t="s">
        <v>204</v>
      </c>
    </row>
    <row r="238" spans="1:17">
      <c r="B238" s="8" t="s">
        <v>211</v>
      </c>
      <c r="C238" s="8" t="s">
        <v>188</v>
      </c>
      <c r="D238" s="8">
        <f t="shared" ref="D238:M238" si="111">D221</f>
        <v>0</v>
      </c>
      <c r="E238" s="8">
        <f t="shared" si="111"/>
        <v>0</v>
      </c>
      <c r="F238" s="8">
        <f t="shared" si="111"/>
        <v>0</v>
      </c>
      <c r="G238" s="8">
        <f t="shared" si="111"/>
        <v>0</v>
      </c>
      <c r="H238" s="8">
        <f t="shared" si="111"/>
        <v>0</v>
      </c>
      <c r="I238" s="8">
        <f t="shared" si="111"/>
        <v>0</v>
      </c>
      <c r="J238" s="8">
        <f t="shared" si="111"/>
        <v>0</v>
      </c>
      <c r="K238" s="8">
        <f t="shared" si="111"/>
        <v>0</v>
      </c>
      <c r="L238" s="8">
        <f t="shared" si="111"/>
        <v>0</v>
      </c>
      <c r="M238" s="8">
        <f t="shared" si="111"/>
        <v>0</v>
      </c>
      <c r="N238" s="8">
        <f t="shared" ref="N238:N245" si="112">AVERAGE(D238:H238)</f>
        <v>0</v>
      </c>
      <c r="O238" s="8">
        <f t="shared" ref="O238:O245" si="113">AVERAGE(I238:M238)</f>
        <v>0</v>
      </c>
      <c r="P238" s="8">
        <f t="shared" ref="P238:P245" si="114">LOG(N238+1,2)</f>
        <v>0</v>
      </c>
      <c r="Q238" s="8">
        <f t="shared" ref="Q238:Q245" si="115">LOG(O238+1,2)</f>
        <v>0</v>
      </c>
    </row>
    <row r="239" spans="1:17">
      <c r="B239" s="8" t="s">
        <v>211</v>
      </c>
      <c r="C239" s="8" t="s">
        <v>190</v>
      </c>
      <c r="D239" s="8">
        <f t="shared" ref="D239:M239" si="116">D222</f>
        <v>0</v>
      </c>
      <c r="E239" s="8">
        <f t="shared" si="116"/>
        <v>0</v>
      </c>
      <c r="F239" s="8">
        <f t="shared" si="116"/>
        <v>0</v>
      </c>
      <c r="G239" s="8">
        <f t="shared" si="116"/>
        <v>0</v>
      </c>
      <c r="H239" s="8">
        <f t="shared" si="116"/>
        <v>0</v>
      </c>
      <c r="I239" s="8">
        <f t="shared" si="116"/>
        <v>0</v>
      </c>
      <c r="J239" s="8">
        <f t="shared" si="116"/>
        <v>0</v>
      </c>
      <c r="K239" s="8">
        <f t="shared" si="116"/>
        <v>0</v>
      </c>
      <c r="L239" s="8">
        <f t="shared" si="116"/>
        <v>0</v>
      </c>
      <c r="M239" s="8">
        <f t="shared" si="116"/>
        <v>0</v>
      </c>
      <c r="N239" s="8">
        <f t="shared" si="112"/>
        <v>0</v>
      </c>
      <c r="O239" s="8">
        <f t="shared" si="113"/>
        <v>0</v>
      </c>
      <c r="P239" s="8">
        <f t="shared" si="114"/>
        <v>0</v>
      </c>
      <c r="Q239" s="8">
        <f t="shared" si="115"/>
        <v>0</v>
      </c>
    </row>
    <row r="240" spans="1:17">
      <c r="B240" s="8" t="s">
        <v>211</v>
      </c>
      <c r="C240" s="8" t="s">
        <v>192</v>
      </c>
      <c r="D240" s="8">
        <f t="shared" ref="D240:M240" si="117">D223+D224</f>
        <v>0</v>
      </c>
      <c r="E240" s="8">
        <f t="shared" si="117"/>
        <v>0</v>
      </c>
      <c r="F240" s="8">
        <f t="shared" si="117"/>
        <v>0</v>
      </c>
      <c r="G240" s="8">
        <f t="shared" si="117"/>
        <v>98.9259587980968</v>
      </c>
      <c r="H240" s="8">
        <f t="shared" si="117"/>
        <v>0</v>
      </c>
      <c r="I240" s="8">
        <f t="shared" si="117"/>
        <v>0</v>
      </c>
      <c r="J240" s="8">
        <f t="shared" si="117"/>
        <v>0</v>
      </c>
      <c r="K240" s="8">
        <f t="shared" si="117"/>
        <v>0</v>
      </c>
      <c r="L240" s="8">
        <f t="shared" si="117"/>
        <v>6.78798774599947</v>
      </c>
      <c r="M240" s="8">
        <f t="shared" si="117"/>
        <v>3.78246210527513</v>
      </c>
      <c r="N240" s="8">
        <f t="shared" si="112"/>
        <v>19.7851917596194</v>
      </c>
      <c r="O240" s="8">
        <f t="shared" si="113"/>
        <v>2.11408997025492</v>
      </c>
      <c r="P240" s="8">
        <f t="shared" si="114"/>
        <v>4.377484152899</v>
      </c>
      <c r="Q240" s="8">
        <f t="shared" si="115"/>
        <v>1.63881062642258</v>
      </c>
    </row>
    <row r="241" spans="1:17">
      <c r="B241" s="8" t="s">
        <v>211</v>
      </c>
      <c r="C241" s="8" t="s">
        <v>195</v>
      </c>
      <c r="D241" s="8">
        <f t="shared" ref="D241:M241" si="118">SUM(D225:D226)</f>
        <v>0</v>
      </c>
      <c r="E241" s="8">
        <f t="shared" si="118"/>
        <v>0</v>
      </c>
      <c r="F241" s="8">
        <f t="shared" si="118"/>
        <v>0</v>
      </c>
      <c r="G241" s="8">
        <f t="shared" si="118"/>
        <v>0</v>
      </c>
      <c r="H241" s="8">
        <f t="shared" si="118"/>
        <v>0</v>
      </c>
      <c r="I241" s="8">
        <f t="shared" si="118"/>
        <v>0</v>
      </c>
      <c r="J241" s="8">
        <f t="shared" si="118"/>
        <v>0</v>
      </c>
      <c r="K241" s="8">
        <f t="shared" si="118"/>
        <v>0</v>
      </c>
      <c r="L241" s="8">
        <f t="shared" si="118"/>
        <v>0</v>
      </c>
      <c r="M241" s="8">
        <f t="shared" si="118"/>
        <v>0</v>
      </c>
      <c r="N241" s="8">
        <f t="shared" si="112"/>
        <v>0</v>
      </c>
      <c r="O241" s="8">
        <f t="shared" si="113"/>
        <v>0</v>
      </c>
      <c r="P241" s="8">
        <f t="shared" si="114"/>
        <v>0</v>
      </c>
      <c r="Q241" s="8">
        <f t="shared" si="115"/>
        <v>0</v>
      </c>
    </row>
    <row r="242" spans="1:17">
      <c r="B242" s="8" t="s">
        <v>211</v>
      </c>
      <c r="C242" s="8" t="s">
        <v>198</v>
      </c>
      <c r="D242" s="8">
        <f t="shared" ref="D242:M242" si="119">D227</f>
        <v>0</v>
      </c>
      <c r="E242" s="8">
        <f t="shared" si="119"/>
        <v>0</v>
      </c>
      <c r="F242" s="8">
        <f t="shared" si="119"/>
        <v>0</v>
      </c>
      <c r="G242" s="8">
        <f t="shared" si="119"/>
        <v>65.9789483965039</v>
      </c>
      <c r="H242" s="8">
        <f t="shared" si="119"/>
        <v>0</v>
      </c>
      <c r="I242" s="8">
        <f t="shared" si="119"/>
        <v>0</v>
      </c>
      <c r="J242" s="8">
        <f t="shared" si="119"/>
        <v>8.73544716792118</v>
      </c>
      <c r="K242" s="8">
        <f t="shared" si="119"/>
        <v>0</v>
      </c>
      <c r="L242" s="8">
        <f t="shared" si="119"/>
        <v>11.3381741020648</v>
      </c>
      <c r="M242" s="8">
        <f t="shared" si="119"/>
        <v>0</v>
      </c>
      <c r="N242" s="8">
        <f t="shared" si="112"/>
        <v>13.1957896793008</v>
      </c>
      <c r="O242" s="8">
        <f t="shared" si="113"/>
        <v>4.0147242539972</v>
      </c>
      <c r="P242" s="8">
        <f t="shared" si="114"/>
        <v>3.82739120000625</v>
      </c>
      <c r="Q242" s="8">
        <f t="shared" si="115"/>
        <v>2.3261703731549</v>
      </c>
    </row>
    <row r="243" spans="1:17">
      <c r="B243" s="8" t="s">
        <v>211</v>
      </c>
      <c r="C243" s="8" t="s">
        <v>36</v>
      </c>
      <c r="D243" s="8">
        <f t="shared" ref="D243:M243" si="120">D228</f>
        <v>0</v>
      </c>
      <c r="E243" s="8">
        <f t="shared" si="120"/>
        <v>0</v>
      </c>
      <c r="F243" s="8">
        <f t="shared" si="120"/>
        <v>0</v>
      </c>
      <c r="G243" s="8">
        <f t="shared" si="120"/>
        <v>0</v>
      </c>
      <c r="H243" s="8">
        <f t="shared" si="120"/>
        <v>0</v>
      </c>
      <c r="I243" s="8">
        <f t="shared" si="120"/>
        <v>0</v>
      </c>
      <c r="J243" s="8">
        <f t="shared" si="120"/>
        <v>0</v>
      </c>
      <c r="K243" s="8">
        <f t="shared" si="120"/>
        <v>0</v>
      </c>
      <c r="L243" s="8">
        <f t="shared" si="120"/>
        <v>0</v>
      </c>
      <c r="M243" s="8">
        <f t="shared" si="120"/>
        <v>0</v>
      </c>
      <c r="N243" s="8">
        <f t="shared" si="112"/>
        <v>0</v>
      </c>
      <c r="O243" s="8">
        <f t="shared" si="113"/>
        <v>0</v>
      </c>
      <c r="P243" s="8">
        <f t="shared" si="114"/>
        <v>0</v>
      </c>
      <c r="Q243" s="8">
        <f t="shared" si="115"/>
        <v>0</v>
      </c>
    </row>
    <row r="244" spans="1:17">
      <c r="B244" s="8" t="s">
        <v>211</v>
      </c>
      <c r="C244" s="8" t="s">
        <v>200</v>
      </c>
      <c r="D244" s="8">
        <f t="shared" ref="D244:M244" si="121">SUM(D229:D234)</f>
        <v>0</v>
      </c>
      <c r="E244" s="8">
        <f t="shared" si="121"/>
        <v>0</v>
      </c>
      <c r="F244" s="8">
        <f t="shared" si="121"/>
        <v>0</v>
      </c>
      <c r="G244" s="8">
        <f t="shared" si="121"/>
        <v>2.98680684886347</v>
      </c>
      <c r="H244" s="8">
        <f t="shared" si="121"/>
        <v>1.60986234535633</v>
      </c>
      <c r="I244" s="8">
        <f t="shared" si="121"/>
        <v>0</v>
      </c>
      <c r="J244" s="8">
        <f t="shared" si="121"/>
        <v>7.59158796085571</v>
      </c>
      <c r="K244" s="8">
        <f t="shared" si="121"/>
        <v>36.0541403872392</v>
      </c>
      <c r="L244" s="8">
        <f t="shared" si="121"/>
        <v>3.11290098071602</v>
      </c>
      <c r="M244" s="8">
        <f t="shared" si="121"/>
        <v>6.13984757160005</v>
      </c>
      <c r="N244" s="8">
        <f t="shared" si="112"/>
        <v>0.91933383884396</v>
      </c>
      <c r="O244" s="8">
        <f t="shared" si="113"/>
        <v>10.5796953800822</v>
      </c>
      <c r="P244" s="8">
        <f t="shared" si="114"/>
        <v>0.940605668154616</v>
      </c>
      <c r="Q244" s="8">
        <f t="shared" si="115"/>
        <v>3.53352539662339</v>
      </c>
    </row>
    <row r="245" spans="1:17">
      <c r="B245" s="8" t="s">
        <v>211</v>
      </c>
      <c r="C245" s="8" t="s">
        <v>201</v>
      </c>
      <c r="D245" s="8">
        <f t="shared" ref="D245:M245" si="122">D235</f>
        <v>0</v>
      </c>
      <c r="E245" s="8">
        <f t="shared" si="122"/>
        <v>0</v>
      </c>
      <c r="F245" s="8">
        <f t="shared" si="122"/>
        <v>0.190775795168016</v>
      </c>
      <c r="G245" s="8">
        <f t="shared" si="122"/>
        <v>0</v>
      </c>
      <c r="H245" s="8">
        <f t="shared" si="122"/>
        <v>0</v>
      </c>
      <c r="I245" s="8">
        <f t="shared" si="122"/>
        <v>0</v>
      </c>
      <c r="J245" s="8">
        <f t="shared" si="122"/>
        <v>0</v>
      </c>
      <c r="K245" s="8">
        <f t="shared" si="122"/>
        <v>0</v>
      </c>
      <c r="L245" s="8">
        <f t="shared" si="122"/>
        <v>6.72824043671211</v>
      </c>
      <c r="M245" s="8">
        <f t="shared" si="122"/>
        <v>0</v>
      </c>
      <c r="N245" s="8">
        <f t="shared" si="112"/>
        <v>0.0381551590336032</v>
      </c>
      <c r="O245" s="8">
        <f t="shared" si="113"/>
        <v>1.34564808734242</v>
      </c>
      <c r="P245" s="8">
        <f t="shared" si="114"/>
        <v>0.054022079957632</v>
      </c>
      <c r="Q245" s="8">
        <f t="shared" si="115"/>
        <v>1.22998658509328</v>
      </c>
    </row>
    <row r="248" spans="1:17">
      <c r="A248" s="8" t="s">
        <v>213</v>
      </c>
      <c r="B248" s="8" t="s">
        <v>188</v>
      </c>
      <c r="C248" s="8" t="s">
        <v>189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1:17">
      <c r="A249" s="8" t="s">
        <v>213</v>
      </c>
      <c r="B249" s="8" t="s">
        <v>190</v>
      </c>
      <c r="C249" s="8" t="s">
        <v>191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</row>
    <row r="250" spans="1:17">
      <c r="A250" s="8" t="s">
        <v>213</v>
      </c>
      <c r="B250" s="8" t="s">
        <v>192</v>
      </c>
      <c r="C250" s="8" t="s">
        <v>193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33.010456470867</v>
      </c>
      <c r="M250" s="8">
        <v>0</v>
      </c>
    </row>
    <row r="251" spans="1:17">
      <c r="A251" s="8" t="s">
        <v>213</v>
      </c>
      <c r="B251" s="8" t="s">
        <v>192</v>
      </c>
      <c r="C251" s="8" t="s">
        <v>194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spans="1:17">
      <c r="A252" s="8" t="s">
        <v>213</v>
      </c>
      <c r="B252" s="8" t="s">
        <v>195</v>
      </c>
      <c r="C252" s="8" t="s">
        <v>196</v>
      </c>
      <c r="D252" s="8">
        <v>0</v>
      </c>
      <c r="E252" s="8">
        <v>0</v>
      </c>
      <c r="F252" s="8">
        <v>0</v>
      </c>
      <c r="G252" s="8">
        <v>30.7728047456435</v>
      </c>
      <c r="H252" s="8">
        <v>0</v>
      </c>
      <c r="I252" s="8">
        <v>0</v>
      </c>
      <c r="J252" s="8">
        <v>0</v>
      </c>
      <c r="K252" s="8">
        <v>0</v>
      </c>
      <c r="L252" s="8">
        <v>4.30476682985282</v>
      </c>
      <c r="M252" s="8">
        <v>0</v>
      </c>
    </row>
    <row r="253" spans="1:17">
      <c r="A253" s="8" t="s">
        <v>213</v>
      </c>
      <c r="B253" s="8" t="s">
        <v>195</v>
      </c>
      <c r="C253" s="8" t="s">
        <v>197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</row>
    <row r="254" spans="1:17">
      <c r="A254" s="8" t="s">
        <v>213</v>
      </c>
      <c r="B254" s="8" t="s">
        <v>198</v>
      </c>
      <c r="C254" s="8" t="s">
        <v>199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</row>
    <row r="255" spans="1:17">
      <c r="A255" s="8" t="s">
        <v>213</v>
      </c>
      <c r="B255" s="8" t="s">
        <v>36</v>
      </c>
      <c r="C255" s="8" t="s">
        <v>130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118.31429889283</v>
      </c>
      <c r="K255" s="8">
        <v>0</v>
      </c>
      <c r="L255" s="8">
        <v>0</v>
      </c>
      <c r="M255" s="8">
        <v>0</v>
      </c>
    </row>
    <row r="256" spans="1:17">
      <c r="A256" s="8" t="s">
        <v>213</v>
      </c>
      <c r="B256" s="8" t="s">
        <v>200</v>
      </c>
      <c r="C256" s="8" t="s">
        <v>97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2.95093882654333</v>
      </c>
      <c r="J256" s="8">
        <v>20.9987166238875</v>
      </c>
      <c r="K256" s="8">
        <v>8.12129420230891</v>
      </c>
      <c r="L256" s="8">
        <v>6.2824798450485</v>
      </c>
      <c r="M256" s="8">
        <v>1.10723528331977</v>
      </c>
    </row>
    <row r="257" spans="1:17">
      <c r="A257" s="8" t="s">
        <v>213</v>
      </c>
      <c r="B257" s="8" t="s">
        <v>200</v>
      </c>
      <c r="C257" s="8" t="s">
        <v>98</v>
      </c>
      <c r="D257" s="8">
        <v>0</v>
      </c>
      <c r="E257" s="8">
        <v>15.8885963261806</v>
      </c>
      <c r="F257" s="8">
        <v>111.651228647444</v>
      </c>
      <c r="G257" s="8">
        <v>1.76826213381908</v>
      </c>
      <c r="H257" s="8">
        <v>0</v>
      </c>
      <c r="I257" s="8">
        <v>7.6288920373413</v>
      </c>
      <c r="J257" s="8">
        <v>24.3852932219102</v>
      </c>
      <c r="K257" s="8">
        <v>9.52980998079145</v>
      </c>
      <c r="L257" s="8">
        <v>24.3877467155821</v>
      </c>
      <c r="M257" s="8">
        <v>1.02722797399342</v>
      </c>
    </row>
    <row r="258" spans="1:17">
      <c r="A258" s="8" t="s">
        <v>213</v>
      </c>
      <c r="B258" s="8" t="s">
        <v>200</v>
      </c>
      <c r="C258" s="8" t="s">
        <v>95</v>
      </c>
      <c r="D258" s="8">
        <v>0</v>
      </c>
      <c r="E258" s="8">
        <v>2.01739946869322</v>
      </c>
      <c r="F258" s="8">
        <v>45.8966544362333</v>
      </c>
      <c r="G258" s="8">
        <v>233.2954</v>
      </c>
      <c r="H258" s="8">
        <v>7.83118742548328</v>
      </c>
      <c r="I258" s="8">
        <v>7.94660471361307</v>
      </c>
      <c r="J258" s="8">
        <v>9.06330597889801</v>
      </c>
      <c r="K258" s="8">
        <v>5.60947438710175</v>
      </c>
      <c r="L258" s="8">
        <v>2.22982332232862</v>
      </c>
      <c r="M258" s="8">
        <v>6.15662180782217</v>
      </c>
    </row>
    <row r="259" spans="1:17">
      <c r="A259" s="8" t="s">
        <v>213</v>
      </c>
      <c r="B259" s="8" t="s">
        <v>200</v>
      </c>
      <c r="C259" s="8" t="s">
        <v>93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1:17">
      <c r="A260" s="8" t="s">
        <v>213</v>
      </c>
      <c r="B260" s="8" t="s">
        <v>200</v>
      </c>
      <c r="C260" s="8" t="s">
        <v>96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</row>
    <row r="261" spans="1:17">
      <c r="A261" s="8" t="s">
        <v>213</v>
      </c>
      <c r="B261" s="8" t="s">
        <v>200</v>
      </c>
      <c r="C261" s="8" t="s">
        <v>94</v>
      </c>
      <c r="D261" s="8">
        <v>0</v>
      </c>
      <c r="E261" s="8">
        <v>2.34879757202517</v>
      </c>
      <c r="F261" s="8">
        <v>0.779781322339411</v>
      </c>
      <c r="G261" s="8">
        <v>0</v>
      </c>
      <c r="H261" s="8">
        <v>0</v>
      </c>
      <c r="I261" s="8">
        <v>4.13018081424587</v>
      </c>
      <c r="J261" s="8">
        <v>0</v>
      </c>
      <c r="K261" s="8">
        <v>2.77837730745489</v>
      </c>
      <c r="L261" s="8">
        <v>6.4894860207243</v>
      </c>
      <c r="M261" s="8">
        <v>5.43398892749672</v>
      </c>
    </row>
    <row r="262" spans="1:17">
      <c r="A262" s="8" t="s">
        <v>213</v>
      </c>
      <c r="B262" s="8" t="s">
        <v>201</v>
      </c>
      <c r="C262" s="8" t="s">
        <v>202</v>
      </c>
      <c r="D262" s="8">
        <v>0</v>
      </c>
      <c r="E262" s="8">
        <v>2.71910307710009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3.04023194259574</v>
      </c>
      <c r="M262" s="8">
        <v>0</v>
      </c>
    </row>
    <row r="264" spans="1:17">
      <c r="N264" s="11" t="s">
        <v>203</v>
      </c>
      <c r="O264" s="11" t="s">
        <v>203</v>
      </c>
      <c r="P264" s="11" t="s">
        <v>204</v>
      </c>
      <c r="Q264" s="11" t="s">
        <v>204</v>
      </c>
    </row>
    <row r="265" spans="1:17">
      <c r="B265" s="8" t="s">
        <v>213</v>
      </c>
      <c r="C265" s="8" t="s">
        <v>188</v>
      </c>
      <c r="D265" s="8">
        <f t="shared" ref="D265:M265" si="123">D248</f>
        <v>0</v>
      </c>
      <c r="E265" s="8">
        <f t="shared" si="123"/>
        <v>0</v>
      </c>
      <c r="F265" s="8">
        <f t="shared" si="123"/>
        <v>0</v>
      </c>
      <c r="G265" s="8">
        <f t="shared" si="123"/>
        <v>0</v>
      </c>
      <c r="H265" s="8">
        <f t="shared" si="123"/>
        <v>0</v>
      </c>
      <c r="I265" s="8">
        <f t="shared" si="123"/>
        <v>0</v>
      </c>
      <c r="J265" s="8">
        <f t="shared" si="123"/>
        <v>0</v>
      </c>
      <c r="K265" s="8">
        <f t="shared" si="123"/>
        <v>0</v>
      </c>
      <c r="L265" s="8">
        <f t="shared" si="123"/>
        <v>0</v>
      </c>
      <c r="M265" s="8">
        <f t="shared" si="123"/>
        <v>0</v>
      </c>
      <c r="N265" s="8">
        <f t="shared" ref="N265:N272" si="124">AVERAGE(D265:H265)</f>
        <v>0</v>
      </c>
      <c r="O265" s="8">
        <f t="shared" ref="O265:O272" si="125">AVERAGE(I265:M265)</f>
        <v>0</v>
      </c>
      <c r="P265" s="8">
        <f t="shared" ref="P265:P272" si="126">LOG(N265+1,2)</f>
        <v>0</v>
      </c>
      <c r="Q265" s="8">
        <f t="shared" ref="Q265:Q272" si="127">LOG(O265+1,2)</f>
        <v>0</v>
      </c>
    </row>
    <row r="266" spans="1:17">
      <c r="B266" s="8" t="s">
        <v>213</v>
      </c>
      <c r="C266" s="8" t="s">
        <v>190</v>
      </c>
      <c r="D266" s="8">
        <f t="shared" ref="D266:M266" si="128">D249</f>
        <v>0</v>
      </c>
      <c r="E266" s="8">
        <f t="shared" si="128"/>
        <v>0</v>
      </c>
      <c r="F266" s="8">
        <f t="shared" si="128"/>
        <v>0</v>
      </c>
      <c r="G266" s="8">
        <f t="shared" si="128"/>
        <v>0</v>
      </c>
      <c r="H266" s="8">
        <f t="shared" si="128"/>
        <v>0</v>
      </c>
      <c r="I266" s="8">
        <f t="shared" si="128"/>
        <v>0</v>
      </c>
      <c r="J266" s="8">
        <f t="shared" si="128"/>
        <v>0</v>
      </c>
      <c r="K266" s="8">
        <f t="shared" si="128"/>
        <v>0</v>
      </c>
      <c r="L266" s="8">
        <f t="shared" si="128"/>
        <v>0</v>
      </c>
      <c r="M266" s="8">
        <f t="shared" si="128"/>
        <v>0</v>
      </c>
      <c r="N266" s="8">
        <f t="shared" si="124"/>
        <v>0</v>
      </c>
      <c r="O266" s="8">
        <f t="shared" si="125"/>
        <v>0</v>
      </c>
      <c r="P266" s="8">
        <f t="shared" si="126"/>
        <v>0</v>
      </c>
      <c r="Q266" s="8">
        <f t="shared" si="127"/>
        <v>0</v>
      </c>
    </row>
    <row r="267" spans="1:17">
      <c r="B267" s="8" t="s">
        <v>213</v>
      </c>
      <c r="C267" s="8" t="s">
        <v>192</v>
      </c>
      <c r="D267" s="8">
        <f t="shared" ref="D267:M267" si="129">D250+D251</f>
        <v>0</v>
      </c>
      <c r="E267" s="8">
        <f t="shared" si="129"/>
        <v>0</v>
      </c>
      <c r="F267" s="8">
        <f t="shared" si="129"/>
        <v>0</v>
      </c>
      <c r="G267" s="8">
        <f t="shared" si="129"/>
        <v>0</v>
      </c>
      <c r="H267" s="8">
        <f t="shared" si="129"/>
        <v>0</v>
      </c>
      <c r="I267" s="8">
        <f t="shared" si="129"/>
        <v>0</v>
      </c>
      <c r="J267" s="8">
        <f t="shared" si="129"/>
        <v>0</v>
      </c>
      <c r="K267" s="8">
        <f t="shared" si="129"/>
        <v>0</v>
      </c>
      <c r="L267" s="8">
        <f t="shared" si="129"/>
        <v>33.010456470867</v>
      </c>
      <c r="M267" s="8">
        <f t="shared" si="129"/>
        <v>0</v>
      </c>
      <c r="N267" s="8">
        <f t="shared" si="124"/>
        <v>0</v>
      </c>
      <c r="O267" s="8">
        <f t="shared" si="125"/>
        <v>6.60209129417341</v>
      </c>
      <c r="P267" s="8">
        <f t="shared" si="126"/>
        <v>0</v>
      </c>
      <c r="Q267" s="8">
        <f t="shared" si="127"/>
        <v>2.92639635075373</v>
      </c>
    </row>
    <row r="268" spans="1:17">
      <c r="B268" s="8" t="s">
        <v>213</v>
      </c>
      <c r="C268" s="8" t="s">
        <v>195</v>
      </c>
      <c r="D268" s="8">
        <f t="shared" ref="D268:M268" si="130">SUM(D252:D253)</f>
        <v>0</v>
      </c>
      <c r="E268" s="8">
        <f t="shared" si="130"/>
        <v>0</v>
      </c>
      <c r="F268" s="8">
        <f t="shared" si="130"/>
        <v>0</v>
      </c>
      <c r="G268" s="8">
        <f t="shared" si="130"/>
        <v>30.7728047456435</v>
      </c>
      <c r="H268" s="8">
        <f t="shared" si="130"/>
        <v>0</v>
      </c>
      <c r="I268" s="8">
        <f t="shared" si="130"/>
        <v>0</v>
      </c>
      <c r="J268" s="8">
        <f t="shared" si="130"/>
        <v>0</v>
      </c>
      <c r="K268" s="8">
        <f t="shared" si="130"/>
        <v>0</v>
      </c>
      <c r="L268" s="8">
        <f t="shared" si="130"/>
        <v>4.30476682985282</v>
      </c>
      <c r="M268" s="8">
        <f t="shared" si="130"/>
        <v>0</v>
      </c>
      <c r="N268" s="8">
        <f t="shared" si="124"/>
        <v>6.15456094912869</v>
      </c>
      <c r="O268" s="8">
        <f t="shared" si="125"/>
        <v>0.860953365970563</v>
      </c>
      <c r="P268" s="8">
        <f t="shared" si="126"/>
        <v>2.8388632364209</v>
      </c>
      <c r="Q268" s="8">
        <f t="shared" si="127"/>
        <v>0.896041903045655</v>
      </c>
    </row>
    <row r="269" spans="1:17">
      <c r="B269" s="8" t="s">
        <v>213</v>
      </c>
      <c r="C269" s="8" t="s">
        <v>198</v>
      </c>
      <c r="D269" s="8">
        <f t="shared" ref="D269:M269" si="131">D254</f>
        <v>0</v>
      </c>
      <c r="E269" s="8">
        <f t="shared" si="131"/>
        <v>0</v>
      </c>
      <c r="F269" s="8">
        <f t="shared" si="131"/>
        <v>0</v>
      </c>
      <c r="G269" s="8">
        <f t="shared" si="131"/>
        <v>0</v>
      </c>
      <c r="H269" s="8">
        <f t="shared" si="131"/>
        <v>0</v>
      </c>
      <c r="I269" s="8">
        <f t="shared" si="131"/>
        <v>0</v>
      </c>
      <c r="J269" s="8">
        <f t="shared" si="131"/>
        <v>0</v>
      </c>
      <c r="K269" s="8">
        <f t="shared" si="131"/>
        <v>0</v>
      </c>
      <c r="L269" s="8">
        <f t="shared" si="131"/>
        <v>0</v>
      </c>
      <c r="M269" s="8">
        <f t="shared" si="131"/>
        <v>0</v>
      </c>
      <c r="N269" s="8">
        <f t="shared" si="124"/>
        <v>0</v>
      </c>
      <c r="O269" s="8">
        <f t="shared" si="125"/>
        <v>0</v>
      </c>
      <c r="P269" s="8">
        <f t="shared" si="126"/>
        <v>0</v>
      </c>
      <c r="Q269" s="8">
        <f t="shared" si="127"/>
        <v>0</v>
      </c>
    </row>
    <row r="270" spans="1:17">
      <c r="B270" s="8" t="s">
        <v>213</v>
      </c>
      <c r="C270" s="8" t="s">
        <v>36</v>
      </c>
      <c r="D270" s="8">
        <f t="shared" ref="D270:M270" si="132">D255</f>
        <v>0</v>
      </c>
      <c r="E270" s="8">
        <f t="shared" si="132"/>
        <v>0</v>
      </c>
      <c r="F270" s="8">
        <f t="shared" si="132"/>
        <v>0</v>
      </c>
      <c r="G270" s="8">
        <f t="shared" si="132"/>
        <v>0</v>
      </c>
      <c r="H270" s="8">
        <f t="shared" si="132"/>
        <v>0</v>
      </c>
      <c r="I270" s="8">
        <f t="shared" si="132"/>
        <v>0</v>
      </c>
      <c r="J270" s="8">
        <f t="shared" si="132"/>
        <v>118.31429889283</v>
      </c>
      <c r="K270" s="8">
        <f t="shared" si="132"/>
        <v>0</v>
      </c>
      <c r="L270" s="8">
        <f t="shared" si="132"/>
        <v>0</v>
      </c>
      <c r="M270" s="8">
        <f t="shared" si="132"/>
        <v>0</v>
      </c>
      <c r="N270" s="8">
        <f t="shared" si="124"/>
        <v>0</v>
      </c>
      <c r="O270" s="8">
        <f t="shared" si="125"/>
        <v>23.6628597785659</v>
      </c>
      <c r="P270" s="8">
        <f t="shared" si="126"/>
        <v>0</v>
      </c>
      <c r="Q270" s="8">
        <f t="shared" si="127"/>
        <v>4.62426819183587</v>
      </c>
    </row>
    <row r="271" spans="1:17">
      <c r="B271" s="8" t="s">
        <v>213</v>
      </c>
      <c r="C271" s="8" t="s">
        <v>200</v>
      </c>
      <c r="D271" s="8">
        <f t="shared" ref="D271:M271" si="133">SUM(D256:D261)</f>
        <v>0</v>
      </c>
      <c r="E271" s="8">
        <f t="shared" si="133"/>
        <v>20.2547933668989</v>
      </c>
      <c r="F271" s="8">
        <f t="shared" si="133"/>
        <v>158.327664406017</v>
      </c>
      <c r="G271" s="8">
        <f t="shared" si="133"/>
        <v>235.063662133819</v>
      </c>
      <c r="H271" s="8">
        <f t="shared" si="133"/>
        <v>7.83118742548328</v>
      </c>
      <c r="I271" s="8">
        <f t="shared" si="133"/>
        <v>22.6566163917436</v>
      </c>
      <c r="J271" s="8">
        <f t="shared" si="133"/>
        <v>54.4473158246957</v>
      </c>
      <c r="K271" s="8">
        <f t="shared" si="133"/>
        <v>26.038955877657</v>
      </c>
      <c r="L271" s="8">
        <f t="shared" si="133"/>
        <v>39.3895359036835</v>
      </c>
      <c r="M271" s="8">
        <f t="shared" si="133"/>
        <v>13.7250739926321</v>
      </c>
      <c r="N271" s="8">
        <f t="shared" si="124"/>
        <v>84.2954614664436</v>
      </c>
      <c r="O271" s="8">
        <f t="shared" si="125"/>
        <v>31.2514995980824</v>
      </c>
      <c r="P271" s="8">
        <f t="shared" si="126"/>
        <v>6.41439707331191</v>
      </c>
      <c r="Q271" s="8">
        <f t="shared" si="127"/>
        <v>5.01129433797887</v>
      </c>
    </row>
    <row r="272" spans="1:17">
      <c r="B272" s="8" t="s">
        <v>213</v>
      </c>
      <c r="C272" s="8" t="s">
        <v>201</v>
      </c>
      <c r="D272" s="8">
        <f t="shared" ref="D272:M272" si="134">D262</f>
        <v>0</v>
      </c>
      <c r="E272" s="8">
        <f t="shared" si="134"/>
        <v>2.71910307710009</v>
      </c>
      <c r="F272" s="8">
        <f t="shared" si="134"/>
        <v>0</v>
      </c>
      <c r="G272" s="8">
        <f t="shared" si="134"/>
        <v>0</v>
      </c>
      <c r="H272" s="8">
        <f t="shared" si="134"/>
        <v>0</v>
      </c>
      <c r="I272" s="8">
        <f t="shared" si="134"/>
        <v>0</v>
      </c>
      <c r="J272" s="8">
        <f t="shared" si="134"/>
        <v>0</v>
      </c>
      <c r="K272" s="8">
        <f t="shared" si="134"/>
        <v>0</v>
      </c>
      <c r="L272" s="8">
        <f t="shared" si="134"/>
        <v>3.04023194259574</v>
      </c>
      <c r="M272" s="8">
        <f t="shared" si="134"/>
        <v>0</v>
      </c>
      <c r="N272" s="8">
        <f t="shared" si="124"/>
        <v>0.543820615420017</v>
      </c>
      <c r="O272" s="8">
        <f t="shared" si="125"/>
        <v>0.608046388519147</v>
      </c>
      <c r="P272" s="8">
        <f t="shared" si="126"/>
        <v>0.626505128073045</v>
      </c>
      <c r="Q272" s="8">
        <f t="shared" si="127"/>
        <v>0.685309025622071</v>
      </c>
    </row>
    <row r="275" spans="1:13">
      <c r="A275" s="8" t="s">
        <v>214</v>
      </c>
      <c r="B275" s="8" t="s">
        <v>188</v>
      </c>
      <c r="C275" s="8" t="s">
        <v>189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</row>
    <row r="276" spans="1:13">
      <c r="A276" s="8" t="s">
        <v>214</v>
      </c>
      <c r="B276" s="8" t="s">
        <v>190</v>
      </c>
      <c r="C276" s="8" t="s">
        <v>191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</row>
    <row r="277" spans="1:13">
      <c r="A277" s="8" t="s">
        <v>214</v>
      </c>
      <c r="B277" s="8" t="s">
        <v>192</v>
      </c>
      <c r="C277" s="8" t="s">
        <v>193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</row>
    <row r="278" spans="1:13">
      <c r="A278" s="8" t="s">
        <v>214</v>
      </c>
      <c r="B278" s="8" t="s">
        <v>192</v>
      </c>
      <c r="C278" s="8" t="s">
        <v>194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</row>
    <row r="279" spans="1:13">
      <c r="A279" s="8" t="s">
        <v>214</v>
      </c>
      <c r="B279" s="8" t="s">
        <v>195</v>
      </c>
      <c r="C279" s="8" t="s">
        <v>196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</row>
    <row r="280" spans="1:13">
      <c r="A280" s="8" t="s">
        <v>214</v>
      </c>
      <c r="B280" s="8" t="s">
        <v>195</v>
      </c>
      <c r="C280" s="8" t="s">
        <v>197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</row>
    <row r="281" spans="1:13">
      <c r="A281" s="8" t="s">
        <v>214</v>
      </c>
      <c r="B281" s="8" t="s">
        <v>198</v>
      </c>
      <c r="C281" s="8" t="s">
        <v>199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</row>
    <row r="282" spans="1:13">
      <c r="A282" s="8" t="s">
        <v>214</v>
      </c>
      <c r="B282" s="8" t="s">
        <v>36</v>
      </c>
      <c r="C282" s="8" t="s">
        <v>130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</row>
    <row r="283" spans="1:13">
      <c r="A283" s="8" t="s">
        <v>214</v>
      </c>
      <c r="B283" s="8" t="s">
        <v>200</v>
      </c>
      <c r="C283" s="8" t="s">
        <v>97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4.00129439365747</v>
      </c>
      <c r="M283" s="8">
        <v>0</v>
      </c>
    </row>
    <row r="284" spans="1:13">
      <c r="A284" s="8" t="s">
        <v>214</v>
      </c>
      <c r="B284" s="8" t="s">
        <v>200</v>
      </c>
      <c r="C284" s="8" t="s">
        <v>98</v>
      </c>
      <c r="D284" s="8">
        <v>0</v>
      </c>
      <c r="E284" s="8">
        <v>1.37258802679327</v>
      </c>
      <c r="F284" s="8">
        <v>0</v>
      </c>
      <c r="G284" s="8">
        <v>0</v>
      </c>
      <c r="H284" s="8">
        <v>0</v>
      </c>
      <c r="I284" s="8">
        <v>0</v>
      </c>
      <c r="J284" s="8">
        <v>11.4900556619197</v>
      </c>
      <c r="K284" s="8">
        <v>0</v>
      </c>
      <c r="L284" s="8">
        <v>1.5682908260373</v>
      </c>
      <c r="M284" s="8">
        <v>7.2726</v>
      </c>
    </row>
    <row r="285" spans="1:13">
      <c r="A285" s="8" t="s">
        <v>214</v>
      </c>
      <c r="B285" s="8" t="s">
        <v>200</v>
      </c>
      <c r="C285" s="8" t="s">
        <v>95</v>
      </c>
      <c r="D285" s="8">
        <v>0</v>
      </c>
      <c r="E285" s="8">
        <v>0.0229242401695047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1.76460874290679</v>
      </c>
      <c r="L285" s="8">
        <v>0.637884308833063</v>
      </c>
      <c r="M285" s="8">
        <v>1.38084047525714</v>
      </c>
    </row>
    <row r="286" spans="1:13">
      <c r="A286" s="8" t="s">
        <v>214</v>
      </c>
      <c r="B286" s="8" t="s">
        <v>200</v>
      </c>
      <c r="C286" s="8" t="s">
        <v>93</v>
      </c>
      <c r="D286" s="8">
        <v>0</v>
      </c>
      <c r="E286" s="8">
        <v>0.638410289182524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0.69557870471858</v>
      </c>
      <c r="M286" s="8">
        <v>0</v>
      </c>
    </row>
    <row r="287" spans="1:13">
      <c r="A287" s="8" t="s">
        <v>214</v>
      </c>
      <c r="B287" s="8" t="s">
        <v>200</v>
      </c>
      <c r="C287" s="8" t="s">
        <v>96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2.09762134708562</v>
      </c>
      <c r="M287" s="8">
        <v>0</v>
      </c>
    </row>
    <row r="288" spans="1:13">
      <c r="A288" s="8" t="s">
        <v>214</v>
      </c>
      <c r="B288" s="8" t="s">
        <v>200</v>
      </c>
      <c r="C288" s="8" t="s">
        <v>94</v>
      </c>
      <c r="D288" s="8">
        <v>0</v>
      </c>
      <c r="E288" s="8">
        <v>0.252595881749151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0.880765908316591</v>
      </c>
      <c r="M288" s="8">
        <v>0</v>
      </c>
    </row>
    <row r="289" spans="1:17">
      <c r="A289" s="8" t="s">
        <v>214</v>
      </c>
      <c r="B289" s="8" t="s">
        <v>201</v>
      </c>
      <c r="C289" s="8" t="s">
        <v>202</v>
      </c>
      <c r="D289" s="8">
        <v>0</v>
      </c>
      <c r="E289" s="8">
        <v>3.16346851021097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0.933702821947205</v>
      </c>
      <c r="M289" s="8">
        <v>6.77298007432123</v>
      </c>
    </row>
    <row r="291" spans="1:17">
      <c r="N291" s="11" t="s">
        <v>203</v>
      </c>
      <c r="O291" s="11" t="s">
        <v>203</v>
      </c>
      <c r="P291" s="11" t="s">
        <v>204</v>
      </c>
      <c r="Q291" s="11" t="s">
        <v>204</v>
      </c>
    </row>
    <row r="292" spans="1:17">
      <c r="B292" s="8" t="s">
        <v>214</v>
      </c>
      <c r="C292" s="8" t="s">
        <v>188</v>
      </c>
      <c r="D292" s="8">
        <f t="shared" ref="D292:M292" si="135">D275</f>
        <v>0</v>
      </c>
      <c r="E292" s="8">
        <f t="shared" si="135"/>
        <v>0</v>
      </c>
      <c r="F292" s="8">
        <f t="shared" si="135"/>
        <v>0</v>
      </c>
      <c r="G292" s="8">
        <f t="shared" si="135"/>
        <v>0</v>
      </c>
      <c r="H292" s="8">
        <f t="shared" si="135"/>
        <v>0</v>
      </c>
      <c r="I292" s="8">
        <f t="shared" si="135"/>
        <v>0</v>
      </c>
      <c r="J292" s="8">
        <f t="shared" si="135"/>
        <v>0</v>
      </c>
      <c r="K292" s="8">
        <f t="shared" si="135"/>
        <v>0</v>
      </c>
      <c r="L292" s="8">
        <f t="shared" si="135"/>
        <v>0</v>
      </c>
      <c r="M292" s="8">
        <f t="shared" si="135"/>
        <v>0</v>
      </c>
      <c r="N292" s="8">
        <f t="shared" ref="N292:N299" si="136">AVERAGE(D292:H292)</f>
        <v>0</v>
      </c>
      <c r="O292" s="8">
        <f t="shared" ref="O292:O299" si="137">AVERAGE(I292:M292)</f>
        <v>0</v>
      </c>
      <c r="P292" s="8">
        <f t="shared" ref="P292:P299" si="138">LOG(N292+1,2)</f>
        <v>0</v>
      </c>
      <c r="Q292" s="8">
        <f t="shared" ref="Q292:Q299" si="139">LOG(O292+1,2)</f>
        <v>0</v>
      </c>
    </row>
    <row r="293" spans="1:17">
      <c r="B293" s="8" t="s">
        <v>214</v>
      </c>
      <c r="C293" s="8" t="s">
        <v>190</v>
      </c>
      <c r="D293" s="8">
        <f t="shared" ref="D293:M293" si="140">D276</f>
        <v>0</v>
      </c>
      <c r="E293" s="8">
        <f t="shared" si="140"/>
        <v>0</v>
      </c>
      <c r="F293" s="8">
        <f t="shared" si="140"/>
        <v>0</v>
      </c>
      <c r="G293" s="8">
        <f t="shared" si="140"/>
        <v>0</v>
      </c>
      <c r="H293" s="8">
        <f t="shared" si="140"/>
        <v>0</v>
      </c>
      <c r="I293" s="8">
        <f t="shared" si="140"/>
        <v>0</v>
      </c>
      <c r="J293" s="8">
        <f t="shared" si="140"/>
        <v>0</v>
      </c>
      <c r="K293" s="8">
        <f t="shared" si="140"/>
        <v>0</v>
      </c>
      <c r="L293" s="8">
        <f t="shared" si="140"/>
        <v>0</v>
      </c>
      <c r="M293" s="8">
        <f t="shared" si="140"/>
        <v>0</v>
      </c>
      <c r="N293" s="8">
        <f t="shared" si="136"/>
        <v>0</v>
      </c>
      <c r="O293" s="8">
        <f t="shared" si="137"/>
        <v>0</v>
      </c>
      <c r="P293" s="8">
        <f t="shared" si="138"/>
        <v>0</v>
      </c>
      <c r="Q293" s="8">
        <f t="shared" si="139"/>
        <v>0</v>
      </c>
    </row>
    <row r="294" spans="1:17">
      <c r="B294" s="8" t="s">
        <v>214</v>
      </c>
      <c r="C294" s="8" t="s">
        <v>192</v>
      </c>
      <c r="D294" s="8">
        <f t="shared" ref="D294:M294" si="141">D277+D278</f>
        <v>0</v>
      </c>
      <c r="E294" s="8">
        <f t="shared" si="141"/>
        <v>0</v>
      </c>
      <c r="F294" s="8">
        <f t="shared" si="141"/>
        <v>0</v>
      </c>
      <c r="G294" s="8">
        <f t="shared" si="141"/>
        <v>0</v>
      </c>
      <c r="H294" s="8">
        <f t="shared" si="141"/>
        <v>0</v>
      </c>
      <c r="I294" s="8">
        <f t="shared" si="141"/>
        <v>0</v>
      </c>
      <c r="J294" s="8">
        <f t="shared" si="141"/>
        <v>0</v>
      </c>
      <c r="K294" s="8">
        <f t="shared" si="141"/>
        <v>0</v>
      </c>
      <c r="L294" s="8">
        <f t="shared" si="141"/>
        <v>0</v>
      </c>
      <c r="M294" s="8">
        <f t="shared" si="141"/>
        <v>0</v>
      </c>
      <c r="N294" s="8">
        <f t="shared" si="136"/>
        <v>0</v>
      </c>
      <c r="O294" s="8">
        <f t="shared" si="137"/>
        <v>0</v>
      </c>
      <c r="P294" s="8">
        <f t="shared" si="138"/>
        <v>0</v>
      </c>
      <c r="Q294" s="8">
        <f t="shared" si="139"/>
        <v>0</v>
      </c>
    </row>
    <row r="295" spans="1:17">
      <c r="B295" s="8" t="s">
        <v>214</v>
      </c>
      <c r="C295" s="8" t="s">
        <v>195</v>
      </c>
      <c r="D295" s="8">
        <f t="shared" ref="D295:M295" si="142">SUM(D279:D280)</f>
        <v>0</v>
      </c>
      <c r="E295" s="8">
        <f t="shared" si="142"/>
        <v>0</v>
      </c>
      <c r="F295" s="8">
        <f t="shared" si="142"/>
        <v>0</v>
      </c>
      <c r="G295" s="8">
        <f t="shared" si="142"/>
        <v>0</v>
      </c>
      <c r="H295" s="8">
        <f t="shared" si="142"/>
        <v>0</v>
      </c>
      <c r="I295" s="8">
        <f t="shared" si="142"/>
        <v>0</v>
      </c>
      <c r="J295" s="8">
        <f t="shared" si="142"/>
        <v>0</v>
      </c>
      <c r="K295" s="8">
        <f t="shared" si="142"/>
        <v>0</v>
      </c>
      <c r="L295" s="8">
        <f t="shared" si="142"/>
        <v>0</v>
      </c>
      <c r="M295" s="8">
        <f t="shared" si="142"/>
        <v>0</v>
      </c>
      <c r="N295" s="8">
        <f t="shared" si="136"/>
        <v>0</v>
      </c>
      <c r="O295" s="8">
        <f t="shared" si="137"/>
        <v>0</v>
      </c>
      <c r="P295" s="8">
        <f t="shared" si="138"/>
        <v>0</v>
      </c>
      <c r="Q295" s="8">
        <f t="shared" si="139"/>
        <v>0</v>
      </c>
    </row>
    <row r="296" spans="1:17">
      <c r="B296" s="8" t="s">
        <v>214</v>
      </c>
      <c r="C296" s="8" t="s">
        <v>198</v>
      </c>
      <c r="D296" s="8">
        <f t="shared" ref="D296:M296" si="143">D281</f>
        <v>0</v>
      </c>
      <c r="E296" s="8">
        <f t="shared" si="143"/>
        <v>0</v>
      </c>
      <c r="F296" s="8">
        <f t="shared" si="143"/>
        <v>0</v>
      </c>
      <c r="G296" s="8">
        <f t="shared" si="143"/>
        <v>0</v>
      </c>
      <c r="H296" s="8">
        <f t="shared" si="143"/>
        <v>0</v>
      </c>
      <c r="I296" s="8">
        <f t="shared" si="143"/>
        <v>0</v>
      </c>
      <c r="J296" s="8">
        <f t="shared" si="143"/>
        <v>0</v>
      </c>
      <c r="K296" s="8">
        <f t="shared" si="143"/>
        <v>0</v>
      </c>
      <c r="L296" s="8">
        <f t="shared" si="143"/>
        <v>0</v>
      </c>
      <c r="M296" s="8">
        <f t="shared" si="143"/>
        <v>0</v>
      </c>
      <c r="N296" s="8">
        <f t="shared" si="136"/>
        <v>0</v>
      </c>
      <c r="O296" s="8">
        <f t="shared" si="137"/>
        <v>0</v>
      </c>
      <c r="P296" s="8">
        <f t="shared" si="138"/>
        <v>0</v>
      </c>
      <c r="Q296" s="8">
        <f t="shared" si="139"/>
        <v>0</v>
      </c>
    </row>
    <row r="297" spans="1:17">
      <c r="B297" s="8" t="s">
        <v>214</v>
      </c>
      <c r="C297" s="8" t="s">
        <v>36</v>
      </c>
      <c r="D297" s="8">
        <f t="shared" ref="D297:M297" si="144">D282</f>
        <v>0</v>
      </c>
      <c r="E297" s="8">
        <f t="shared" si="144"/>
        <v>0</v>
      </c>
      <c r="F297" s="8">
        <f t="shared" si="144"/>
        <v>0</v>
      </c>
      <c r="G297" s="8">
        <f t="shared" si="144"/>
        <v>0</v>
      </c>
      <c r="H297" s="8">
        <f t="shared" si="144"/>
        <v>0</v>
      </c>
      <c r="I297" s="8">
        <f t="shared" si="144"/>
        <v>0</v>
      </c>
      <c r="J297" s="8">
        <f t="shared" si="144"/>
        <v>0</v>
      </c>
      <c r="K297" s="8">
        <f t="shared" si="144"/>
        <v>0</v>
      </c>
      <c r="L297" s="8">
        <f t="shared" si="144"/>
        <v>0</v>
      </c>
      <c r="M297" s="8">
        <f t="shared" si="144"/>
        <v>0</v>
      </c>
      <c r="N297" s="8">
        <f t="shared" si="136"/>
        <v>0</v>
      </c>
      <c r="O297" s="8">
        <f t="shared" si="137"/>
        <v>0</v>
      </c>
      <c r="P297" s="8">
        <f t="shared" si="138"/>
        <v>0</v>
      </c>
      <c r="Q297" s="8">
        <f t="shared" si="139"/>
        <v>0</v>
      </c>
    </row>
    <row r="298" spans="1:17">
      <c r="B298" s="8" t="s">
        <v>214</v>
      </c>
      <c r="C298" s="8" t="s">
        <v>200</v>
      </c>
      <c r="D298" s="8">
        <f t="shared" ref="D298:M298" si="145">SUM(D283:D288)</f>
        <v>0</v>
      </c>
      <c r="E298" s="8">
        <f t="shared" si="145"/>
        <v>2.28651843789445</v>
      </c>
      <c r="F298" s="8">
        <f t="shared" si="145"/>
        <v>0</v>
      </c>
      <c r="G298" s="8">
        <f t="shared" si="145"/>
        <v>0</v>
      </c>
      <c r="H298" s="8">
        <f t="shared" si="145"/>
        <v>0</v>
      </c>
      <c r="I298" s="8">
        <f t="shared" si="145"/>
        <v>0</v>
      </c>
      <c r="J298" s="8">
        <f t="shared" si="145"/>
        <v>11.4900556619197</v>
      </c>
      <c r="K298" s="8">
        <f t="shared" si="145"/>
        <v>1.76460874290679</v>
      </c>
      <c r="L298" s="8">
        <f t="shared" si="145"/>
        <v>9.88143548864863</v>
      </c>
      <c r="M298" s="8">
        <f t="shared" si="145"/>
        <v>8.65344047525714</v>
      </c>
      <c r="N298" s="8">
        <f t="shared" si="136"/>
        <v>0.457303687578889</v>
      </c>
      <c r="O298" s="8">
        <f t="shared" si="137"/>
        <v>6.35790807374645</v>
      </c>
      <c r="P298" s="8">
        <f t="shared" si="138"/>
        <v>0.543301552014681</v>
      </c>
      <c r="Q298" s="8">
        <f t="shared" si="139"/>
        <v>2.87929565206808</v>
      </c>
    </row>
    <row r="299" spans="1:17">
      <c r="B299" s="8" t="s">
        <v>214</v>
      </c>
      <c r="C299" s="8" t="s">
        <v>201</v>
      </c>
      <c r="D299" s="8">
        <f t="shared" ref="D299:M299" si="146">D289</f>
        <v>0</v>
      </c>
      <c r="E299" s="8">
        <f t="shared" si="146"/>
        <v>3.16346851021097</v>
      </c>
      <c r="F299" s="8">
        <f t="shared" si="146"/>
        <v>0</v>
      </c>
      <c r="G299" s="8">
        <f t="shared" si="146"/>
        <v>0</v>
      </c>
      <c r="H299" s="8">
        <f t="shared" si="146"/>
        <v>0</v>
      </c>
      <c r="I299" s="8">
        <f t="shared" si="146"/>
        <v>0</v>
      </c>
      <c r="J299" s="8">
        <f t="shared" si="146"/>
        <v>0</v>
      </c>
      <c r="K299" s="8">
        <f t="shared" si="146"/>
        <v>0</v>
      </c>
      <c r="L299" s="8">
        <f t="shared" si="146"/>
        <v>0.933702821947205</v>
      </c>
      <c r="M299" s="8">
        <f t="shared" si="146"/>
        <v>6.77298007432123</v>
      </c>
      <c r="N299" s="8">
        <f t="shared" si="136"/>
        <v>0.632693702042193</v>
      </c>
      <c r="O299" s="8">
        <f t="shared" si="137"/>
        <v>1.54133657925369</v>
      </c>
      <c r="P299" s="8">
        <f t="shared" si="138"/>
        <v>0.70725416261271</v>
      </c>
      <c r="Q299" s="8">
        <f t="shared" si="139"/>
        <v>1.3455874612091</v>
      </c>
    </row>
    <row r="302" spans="1:17">
      <c r="A302" s="8" t="s">
        <v>215</v>
      </c>
      <c r="B302" s="8" t="s">
        <v>188</v>
      </c>
      <c r="C302" s="8" t="s">
        <v>189</v>
      </c>
      <c r="D302" s="8">
        <v>2.09317472853514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0.924222577742226</v>
      </c>
      <c r="K302" s="8">
        <v>0</v>
      </c>
      <c r="L302" s="8">
        <v>0</v>
      </c>
      <c r="M302" s="8">
        <v>0</v>
      </c>
    </row>
    <row r="303" spans="1:17">
      <c r="A303" s="8" t="s">
        <v>215</v>
      </c>
      <c r="B303" s="8" t="s">
        <v>190</v>
      </c>
      <c r="C303" s="8" t="s">
        <v>191</v>
      </c>
      <c r="D303" s="8">
        <v>0</v>
      </c>
      <c r="E303" s="8">
        <v>3.84428742378483</v>
      </c>
      <c r="F303" s="8">
        <v>0</v>
      </c>
      <c r="G303" s="8">
        <v>0</v>
      </c>
      <c r="H303" s="8">
        <v>0</v>
      </c>
      <c r="I303" s="8">
        <v>0</v>
      </c>
      <c r="J303" s="8">
        <v>1.10806187390365</v>
      </c>
      <c r="K303" s="8">
        <v>0</v>
      </c>
      <c r="L303" s="8">
        <v>0</v>
      </c>
      <c r="M303" s="8">
        <v>0</v>
      </c>
    </row>
    <row r="304" spans="1:17">
      <c r="A304" s="8" t="s">
        <v>215</v>
      </c>
      <c r="B304" s="8" t="s">
        <v>192</v>
      </c>
      <c r="C304" s="8" t="s">
        <v>193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</row>
    <row r="305" spans="1:17">
      <c r="A305" s="8" t="s">
        <v>215</v>
      </c>
      <c r="B305" s="8" t="s">
        <v>192</v>
      </c>
      <c r="C305" s="8" t="s">
        <v>194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</row>
    <row r="306" spans="1:17">
      <c r="A306" s="8" t="s">
        <v>215</v>
      </c>
      <c r="B306" s="8" t="s">
        <v>195</v>
      </c>
      <c r="C306" s="8" t="s">
        <v>196</v>
      </c>
      <c r="D306" s="8">
        <v>0</v>
      </c>
      <c r="E306" s="8">
        <v>0</v>
      </c>
      <c r="F306" s="8">
        <v>0</v>
      </c>
      <c r="G306" s="8">
        <v>5.95329858755287</v>
      </c>
      <c r="H306" s="8">
        <v>0</v>
      </c>
      <c r="I306" s="8">
        <v>0</v>
      </c>
      <c r="J306" s="8">
        <v>0</v>
      </c>
      <c r="K306" s="8">
        <v>0</v>
      </c>
      <c r="L306" s="8">
        <v>1.44916991292274</v>
      </c>
      <c r="M306" s="8">
        <v>0</v>
      </c>
    </row>
    <row r="307" spans="1:17">
      <c r="A307" s="8" t="s">
        <v>215</v>
      </c>
      <c r="B307" s="8" t="s">
        <v>195</v>
      </c>
      <c r="C307" s="8" t="s">
        <v>197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</row>
    <row r="308" spans="1:17">
      <c r="A308" s="8" t="s">
        <v>215</v>
      </c>
      <c r="B308" s="8" t="s">
        <v>198</v>
      </c>
      <c r="C308" s="8" t="s">
        <v>199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</row>
    <row r="309" spans="1:17">
      <c r="A309" s="8" t="s">
        <v>215</v>
      </c>
      <c r="B309" s="8" t="s">
        <v>36</v>
      </c>
      <c r="C309" s="8" t="s">
        <v>130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7.05371503828341</v>
      </c>
      <c r="K309" s="8">
        <v>0</v>
      </c>
      <c r="L309" s="8">
        <v>0</v>
      </c>
      <c r="M309" s="8">
        <v>0</v>
      </c>
    </row>
    <row r="310" spans="1:17">
      <c r="A310" s="8" t="s">
        <v>215</v>
      </c>
      <c r="B310" s="8" t="s">
        <v>200</v>
      </c>
      <c r="C310" s="8" t="s">
        <v>97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20.7849668054462</v>
      </c>
      <c r="K310" s="8">
        <v>7.19708927983409</v>
      </c>
      <c r="L310" s="8">
        <v>0</v>
      </c>
      <c r="M310" s="8">
        <v>1.08918777401932</v>
      </c>
    </row>
    <row r="311" spans="1:17">
      <c r="A311" s="8" t="s">
        <v>215</v>
      </c>
      <c r="B311" s="8" t="s">
        <v>200</v>
      </c>
      <c r="C311" s="8" t="s">
        <v>98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3.94998283505232</v>
      </c>
      <c r="M311" s="8">
        <v>0</v>
      </c>
    </row>
    <row r="312" spans="1:17">
      <c r="A312" s="8" t="s">
        <v>215</v>
      </c>
      <c r="B312" s="8" t="s">
        <v>200</v>
      </c>
      <c r="C312" s="8" t="s">
        <v>95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2.63128466816115</v>
      </c>
      <c r="L312" s="8">
        <v>0</v>
      </c>
      <c r="M312" s="8">
        <v>0</v>
      </c>
    </row>
    <row r="313" spans="1:17">
      <c r="A313" s="8" t="s">
        <v>215</v>
      </c>
      <c r="B313" s="8" t="s">
        <v>200</v>
      </c>
      <c r="C313" s="8" t="s">
        <v>93</v>
      </c>
      <c r="D313" s="8">
        <v>0</v>
      </c>
      <c r="E313" s="8">
        <v>1.93437080072173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6.58398682305567</v>
      </c>
      <c r="L313" s="8">
        <v>0</v>
      </c>
      <c r="M313" s="8">
        <v>0</v>
      </c>
    </row>
    <row r="314" spans="1:17">
      <c r="A314" s="8" t="s">
        <v>215</v>
      </c>
      <c r="B314" s="8" t="s">
        <v>200</v>
      </c>
      <c r="C314" s="8" t="s">
        <v>96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1.05399116779175</v>
      </c>
    </row>
    <row r="315" spans="1:17">
      <c r="A315" s="8" t="s">
        <v>215</v>
      </c>
      <c r="B315" s="8" t="s">
        <v>200</v>
      </c>
      <c r="C315" s="8" t="s">
        <v>94</v>
      </c>
      <c r="D315" s="8">
        <v>0</v>
      </c>
      <c r="E315" s="8">
        <v>0.288733716232131</v>
      </c>
      <c r="F315" s="8">
        <v>0</v>
      </c>
      <c r="G315" s="8">
        <v>0</v>
      </c>
      <c r="H315" s="8">
        <v>0</v>
      </c>
      <c r="I315" s="8">
        <v>1.25186342457045</v>
      </c>
      <c r="J315" s="8">
        <v>0</v>
      </c>
      <c r="K315" s="8">
        <v>0.433269927316875</v>
      </c>
      <c r="L315" s="8">
        <v>0.0545613759103124</v>
      </c>
      <c r="M315" s="8">
        <v>1.52684605454358</v>
      </c>
    </row>
    <row r="316" spans="1:17">
      <c r="A316" s="8" t="s">
        <v>215</v>
      </c>
      <c r="B316" s="8" t="s">
        <v>201</v>
      </c>
      <c r="C316" s="8" t="s">
        <v>202</v>
      </c>
      <c r="D316" s="8">
        <v>0</v>
      </c>
      <c r="E316" s="8">
        <v>0</v>
      </c>
      <c r="F316" s="8">
        <v>0</v>
      </c>
      <c r="G316" s="8">
        <v>1.98949933516626</v>
      </c>
      <c r="H316" s="8">
        <v>0</v>
      </c>
      <c r="I316" s="8">
        <v>0</v>
      </c>
      <c r="J316" s="8">
        <v>0</v>
      </c>
      <c r="K316" s="8">
        <v>4.80518861176022</v>
      </c>
      <c r="L316" s="8">
        <v>2.60748596252081</v>
      </c>
      <c r="M316" s="8">
        <v>4.07765792317517</v>
      </c>
    </row>
    <row r="318" spans="1:17">
      <c r="N318" s="11" t="s">
        <v>203</v>
      </c>
      <c r="O318" s="11" t="s">
        <v>203</v>
      </c>
      <c r="P318" s="11" t="s">
        <v>204</v>
      </c>
      <c r="Q318" s="11" t="s">
        <v>204</v>
      </c>
    </row>
    <row r="319" spans="1:17">
      <c r="B319" s="8" t="s">
        <v>215</v>
      </c>
      <c r="C319" s="8" t="s">
        <v>188</v>
      </c>
      <c r="D319" s="8">
        <f t="shared" ref="D319:M319" si="147">D302</f>
        <v>2.09317472853514</v>
      </c>
      <c r="E319" s="8">
        <f t="shared" si="147"/>
        <v>0</v>
      </c>
      <c r="F319" s="8">
        <f t="shared" si="147"/>
        <v>0</v>
      </c>
      <c r="G319" s="8">
        <f t="shared" si="147"/>
        <v>0</v>
      </c>
      <c r="H319" s="8">
        <f t="shared" si="147"/>
        <v>0</v>
      </c>
      <c r="I319" s="8">
        <f t="shared" si="147"/>
        <v>0</v>
      </c>
      <c r="J319" s="8">
        <f t="shared" si="147"/>
        <v>0.924222577742226</v>
      </c>
      <c r="K319" s="8">
        <f t="shared" si="147"/>
        <v>0</v>
      </c>
      <c r="L319" s="8">
        <f t="shared" si="147"/>
        <v>0</v>
      </c>
      <c r="M319" s="8">
        <f t="shared" si="147"/>
        <v>0</v>
      </c>
      <c r="N319" s="8">
        <f t="shared" ref="N319:N326" si="148">AVERAGE(D319:H319)</f>
        <v>0.418634945707028</v>
      </c>
      <c r="O319" s="8">
        <f t="shared" ref="O319:O326" si="149">AVERAGE(I319:M319)</f>
        <v>0.184844515548445</v>
      </c>
      <c r="P319" s="8">
        <f t="shared" ref="P319:P326" si="150">LOG(N319+1,2)</f>
        <v>0.504503391530446</v>
      </c>
      <c r="Q319" s="8">
        <f t="shared" ref="Q319:Q326" si="151">LOG(O319+1,2)</f>
        <v>0.2446977499549</v>
      </c>
    </row>
    <row r="320" spans="1:17">
      <c r="B320" s="8" t="s">
        <v>215</v>
      </c>
      <c r="C320" s="8" t="s">
        <v>190</v>
      </c>
      <c r="D320" s="8">
        <f t="shared" ref="D320:M320" si="152">D303</f>
        <v>0</v>
      </c>
      <c r="E320" s="8">
        <f t="shared" si="152"/>
        <v>3.84428742378483</v>
      </c>
      <c r="F320" s="8">
        <f t="shared" si="152"/>
        <v>0</v>
      </c>
      <c r="G320" s="8">
        <f t="shared" si="152"/>
        <v>0</v>
      </c>
      <c r="H320" s="8">
        <f t="shared" si="152"/>
        <v>0</v>
      </c>
      <c r="I320" s="8">
        <f t="shared" si="152"/>
        <v>0</v>
      </c>
      <c r="J320" s="8">
        <f t="shared" si="152"/>
        <v>1.10806187390365</v>
      </c>
      <c r="K320" s="8">
        <f t="shared" si="152"/>
        <v>0</v>
      </c>
      <c r="L320" s="8">
        <f t="shared" si="152"/>
        <v>0</v>
      </c>
      <c r="M320" s="8">
        <f t="shared" si="152"/>
        <v>0</v>
      </c>
      <c r="N320" s="8">
        <f t="shared" si="148"/>
        <v>0.768857484756966</v>
      </c>
      <c r="O320" s="8">
        <f t="shared" si="149"/>
        <v>0.22161237478073</v>
      </c>
      <c r="P320" s="8">
        <f t="shared" si="150"/>
        <v>0.82281781607987</v>
      </c>
      <c r="Q320" s="8">
        <f t="shared" si="151"/>
        <v>0.28878658164194</v>
      </c>
    </row>
    <row r="321" spans="1:17">
      <c r="B321" s="8" t="s">
        <v>215</v>
      </c>
      <c r="C321" s="8" t="s">
        <v>192</v>
      </c>
      <c r="D321" s="8">
        <f t="shared" ref="D321:M321" si="153">D304+D305</f>
        <v>0</v>
      </c>
      <c r="E321" s="8">
        <f t="shared" si="153"/>
        <v>0</v>
      </c>
      <c r="F321" s="8">
        <f t="shared" si="153"/>
        <v>0</v>
      </c>
      <c r="G321" s="8">
        <f t="shared" si="153"/>
        <v>0</v>
      </c>
      <c r="H321" s="8">
        <f t="shared" si="153"/>
        <v>0</v>
      </c>
      <c r="I321" s="8">
        <f t="shared" si="153"/>
        <v>0</v>
      </c>
      <c r="J321" s="8">
        <f t="shared" si="153"/>
        <v>0</v>
      </c>
      <c r="K321" s="8">
        <f t="shared" si="153"/>
        <v>0</v>
      </c>
      <c r="L321" s="8">
        <f t="shared" si="153"/>
        <v>0</v>
      </c>
      <c r="M321" s="8">
        <f t="shared" si="153"/>
        <v>0</v>
      </c>
      <c r="N321" s="8">
        <f t="shared" si="148"/>
        <v>0</v>
      </c>
      <c r="O321" s="8">
        <f t="shared" si="149"/>
        <v>0</v>
      </c>
      <c r="P321" s="8">
        <f t="shared" si="150"/>
        <v>0</v>
      </c>
      <c r="Q321" s="8">
        <f t="shared" si="151"/>
        <v>0</v>
      </c>
    </row>
    <row r="322" spans="1:17">
      <c r="B322" s="8" t="s">
        <v>215</v>
      </c>
      <c r="C322" s="8" t="s">
        <v>195</v>
      </c>
      <c r="D322" s="8">
        <f t="shared" ref="D322:M322" si="154">SUM(D306:D307)</f>
        <v>0</v>
      </c>
      <c r="E322" s="8">
        <f t="shared" si="154"/>
        <v>0</v>
      </c>
      <c r="F322" s="8">
        <f t="shared" si="154"/>
        <v>0</v>
      </c>
      <c r="G322" s="8">
        <f t="shared" si="154"/>
        <v>5.95329858755287</v>
      </c>
      <c r="H322" s="8">
        <f t="shared" si="154"/>
        <v>0</v>
      </c>
      <c r="I322" s="8">
        <f t="shared" si="154"/>
        <v>0</v>
      </c>
      <c r="J322" s="8">
        <f t="shared" si="154"/>
        <v>0</v>
      </c>
      <c r="K322" s="8">
        <f t="shared" si="154"/>
        <v>0</v>
      </c>
      <c r="L322" s="8">
        <f t="shared" si="154"/>
        <v>1.44916991292274</v>
      </c>
      <c r="M322" s="8">
        <f t="shared" si="154"/>
        <v>0</v>
      </c>
      <c r="N322" s="8">
        <f t="shared" si="148"/>
        <v>1.19065971751057</v>
      </c>
      <c r="O322" s="8">
        <f t="shared" si="149"/>
        <v>0.289833982584549</v>
      </c>
      <c r="P322" s="8">
        <f t="shared" si="150"/>
        <v>1.13136540309288</v>
      </c>
      <c r="Q322" s="8">
        <f t="shared" si="151"/>
        <v>0.367185385093951</v>
      </c>
    </row>
    <row r="323" spans="1:17">
      <c r="B323" s="8" t="s">
        <v>215</v>
      </c>
      <c r="C323" s="8" t="s">
        <v>198</v>
      </c>
      <c r="D323" s="8">
        <f t="shared" ref="D323:M323" si="155">D308</f>
        <v>0</v>
      </c>
      <c r="E323" s="8">
        <f t="shared" si="155"/>
        <v>0</v>
      </c>
      <c r="F323" s="8">
        <f t="shared" si="155"/>
        <v>0</v>
      </c>
      <c r="G323" s="8">
        <f t="shared" si="155"/>
        <v>0</v>
      </c>
      <c r="H323" s="8">
        <f t="shared" si="155"/>
        <v>0</v>
      </c>
      <c r="I323" s="8">
        <f t="shared" si="155"/>
        <v>0</v>
      </c>
      <c r="J323" s="8">
        <f t="shared" si="155"/>
        <v>0</v>
      </c>
      <c r="K323" s="8">
        <f t="shared" si="155"/>
        <v>0</v>
      </c>
      <c r="L323" s="8">
        <f t="shared" si="155"/>
        <v>0</v>
      </c>
      <c r="M323" s="8">
        <f t="shared" si="155"/>
        <v>0</v>
      </c>
      <c r="N323" s="8">
        <f t="shared" si="148"/>
        <v>0</v>
      </c>
      <c r="O323" s="8">
        <f t="shared" si="149"/>
        <v>0</v>
      </c>
      <c r="P323" s="8">
        <f t="shared" si="150"/>
        <v>0</v>
      </c>
      <c r="Q323" s="8">
        <f t="shared" si="151"/>
        <v>0</v>
      </c>
    </row>
    <row r="324" spans="1:17">
      <c r="B324" s="8" t="s">
        <v>215</v>
      </c>
      <c r="C324" s="8" t="s">
        <v>36</v>
      </c>
      <c r="D324" s="8">
        <f t="shared" ref="D324:M324" si="156">D309</f>
        <v>0</v>
      </c>
      <c r="E324" s="8">
        <f t="shared" si="156"/>
        <v>0</v>
      </c>
      <c r="F324" s="8">
        <f t="shared" si="156"/>
        <v>0</v>
      </c>
      <c r="G324" s="8">
        <f t="shared" si="156"/>
        <v>0</v>
      </c>
      <c r="H324" s="8">
        <f t="shared" si="156"/>
        <v>0</v>
      </c>
      <c r="I324" s="8">
        <f t="shared" si="156"/>
        <v>0</v>
      </c>
      <c r="J324" s="8">
        <f t="shared" si="156"/>
        <v>7.05371503828341</v>
      </c>
      <c r="K324" s="8">
        <f t="shared" si="156"/>
        <v>0</v>
      </c>
      <c r="L324" s="8">
        <f t="shared" si="156"/>
        <v>0</v>
      </c>
      <c r="M324" s="8">
        <f t="shared" si="156"/>
        <v>0</v>
      </c>
      <c r="N324" s="8">
        <f t="shared" si="148"/>
        <v>0</v>
      </c>
      <c r="O324" s="8">
        <f t="shared" si="149"/>
        <v>1.41074300765668</v>
      </c>
      <c r="P324" s="8">
        <f t="shared" si="150"/>
        <v>0</v>
      </c>
      <c r="Q324" s="8">
        <f t="shared" si="151"/>
        <v>1.26947786357391</v>
      </c>
    </row>
    <row r="325" spans="1:17">
      <c r="B325" s="8" t="s">
        <v>215</v>
      </c>
      <c r="C325" s="8" t="s">
        <v>200</v>
      </c>
      <c r="D325" s="8">
        <f t="shared" ref="D325:M325" si="157">SUM(D310:D315)</f>
        <v>0</v>
      </c>
      <c r="E325" s="8">
        <f t="shared" si="157"/>
        <v>2.22310451695386</v>
      </c>
      <c r="F325" s="8">
        <f t="shared" si="157"/>
        <v>0</v>
      </c>
      <c r="G325" s="8">
        <f t="shared" si="157"/>
        <v>0</v>
      </c>
      <c r="H325" s="8">
        <f t="shared" si="157"/>
        <v>0</v>
      </c>
      <c r="I325" s="8">
        <f t="shared" si="157"/>
        <v>1.25186342457045</v>
      </c>
      <c r="J325" s="8">
        <f t="shared" si="157"/>
        <v>20.7849668054462</v>
      </c>
      <c r="K325" s="8">
        <f t="shared" si="157"/>
        <v>16.8456306983678</v>
      </c>
      <c r="L325" s="8">
        <f t="shared" si="157"/>
        <v>4.00454421096263</v>
      </c>
      <c r="M325" s="8">
        <f t="shared" si="157"/>
        <v>3.67002499635464</v>
      </c>
      <c r="N325" s="8">
        <f t="shared" si="148"/>
        <v>0.444620903390773</v>
      </c>
      <c r="O325" s="8">
        <f t="shared" si="149"/>
        <v>9.31140602714033</v>
      </c>
      <c r="P325" s="8">
        <f t="shared" si="150"/>
        <v>0.530690951166647</v>
      </c>
      <c r="Q325" s="8">
        <f t="shared" si="151"/>
        <v>3.36616916183965</v>
      </c>
    </row>
    <row r="326" spans="1:17">
      <c r="B326" s="8" t="s">
        <v>215</v>
      </c>
      <c r="C326" s="8" t="s">
        <v>201</v>
      </c>
      <c r="D326" s="8">
        <f t="shared" ref="D326:M326" si="158">D316</f>
        <v>0</v>
      </c>
      <c r="E326" s="8">
        <f t="shared" si="158"/>
        <v>0</v>
      </c>
      <c r="F326" s="8">
        <f t="shared" si="158"/>
        <v>0</v>
      </c>
      <c r="G326" s="8">
        <f t="shared" si="158"/>
        <v>1.98949933516626</v>
      </c>
      <c r="H326" s="8">
        <f t="shared" si="158"/>
        <v>0</v>
      </c>
      <c r="I326" s="8">
        <f t="shared" si="158"/>
        <v>0</v>
      </c>
      <c r="J326" s="8">
        <f t="shared" si="158"/>
        <v>0</v>
      </c>
      <c r="K326" s="8">
        <f t="shared" si="158"/>
        <v>4.80518861176022</v>
      </c>
      <c r="L326" s="8">
        <f t="shared" si="158"/>
        <v>2.60748596252081</v>
      </c>
      <c r="M326" s="8">
        <f t="shared" si="158"/>
        <v>4.07765792317517</v>
      </c>
      <c r="N326" s="8">
        <f t="shared" si="148"/>
        <v>0.397899867033252</v>
      </c>
      <c r="O326" s="8">
        <f t="shared" si="149"/>
        <v>2.29806649949124</v>
      </c>
      <c r="P326" s="8">
        <f t="shared" si="150"/>
        <v>0.483261022724517</v>
      </c>
      <c r="Q326" s="8">
        <f t="shared" si="151"/>
        <v>1.7216204883809</v>
      </c>
    </row>
    <row r="329" spans="1:17">
      <c r="A329" s="8" t="s">
        <v>216</v>
      </c>
      <c r="B329" s="8" t="s">
        <v>188</v>
      </c>
      <c r="C329" s="8" t="s">
        <v>189</v>
      </c>
      <c r="D329" s="8">
        <v>0</v>
      </c>
      <c r="E329" s="8">
        <v>0</v>
      </c>
      <c r="F329" s="8">
        <v>0</v>
      </c>
      <c r="G329" s="8">
        <v>1.70433876942954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</row>
    <row r="330" spans="1:17">
      <c r="A330" s="8" t="s">
        <v>216</v>
      </c>
      <c r="B330" s="8" t="s">
        <v>190</v>
      </c>
      <c r="C330" s="8" t="s">
        <v>191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</row>
    <row r="331" spans="1:17">
      <c r="A331" s="8" t="s">
        <v>216</v>
      </c>
      <c r="B331" s="8" t="s">
        <v>192</v>
      </c>
      <c r="C331" s="8" t="s">
        <v>193</v>
      </c>
      <c r="D331" s="8">
        <v>0</v>
      </c>
      <c r="E331" s="8">
        <v>0</v>
      </c>
      <c r="F331" s="8">
        <v>0</v>
      </c>
      <c r="G331" s="8">
        <v>4.7003069227965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</row>
    <row r="332" spans="1:17">
      <c r="A332" s="8" t="s">
        <v>216</v>
      </c>
      <c r="B332" s="8" t="s">
        <v>192</v>
      </c>
      <c r="C332" s="8" t="s">
        <v>194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</row>
    <row r="333" spans="1:17">
      <c r="A333" s="8" t="s">
        <v>216</v>
      </c>
      <c r="B333" s="8" t="s">
        <v>195</v>
      </c>
      <c r="C333" s="8" t="s">
        <v>196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8.4221544330122</v>
      </c>
    </row>
    <row r="334" spans="1:17">
      <c r="A334" s="8" t="s">
        <v>216</v>
      </c>
      <c r="B334" s="8" t="s">
        <v>195</v>
      </c>
      <c r="C334" s="8" t="s">
        <v>197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3.66784161425134</v>
      </c>
      <c r="M334" s="8">
        <v>13.7545039030108</v>
      </c>
    </row>
    <row r="335" spans="1:17">
      <c r="A335" s="8" t="s">
        <v>216</v>
      </c>
      <c r="B335" s="8" t="s">
        <v>198</v>
      </c>
      <c r="C335" s="8" t="s">
        <v>199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</row>
    <row r="336" spans="1:17">
      <c r="A336" s="8" t="s">
        <v>216</v>
      </c>
      <c r="B336" s="8" t="s">
        <v>36</v>
      </c>
      <c r="C336" s="8" t="s">
        <v>130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</row>
    <row r="337" spans="1:17">
      <c r="A337" s="8" t="s">
        <v>216</v>
      </c>
      <c r="B337" s="8" t="s">
        <v>200</v>
      </c>
      <c r="C337" s="8" t="s">
        <v>97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3.13984757160005</v>
      </c>
      <c r="J337" s="8">
        <v>0</v>
      </c>
      <c r="K337" s="8">
        <v>13.4414302032894</v>
      </c>
      <c r="L337" s="8">
        <v>13.8756793227594</v>
      </c>
      <c r="M337" s="8">
        <v>0</v>
      </c>
    </row>
    <row r="338" spans="1:17">
      <c r="A338" s="8" t="s">
        <v>216</v>
      </c>
      <c r="B338" s="8" t="s">
        <v>200</v>
      </c>
      <c r="C338" s="8" t="s">
        <v>98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4.00127719000521</v>
      </c>
      <c r="M338" s="8">
        <v>0</v>
      </c>
    </row>
    <row r="339" spans="1:17">
      <c r="A339" s="8" t="s">
        <v>216</v>
      </c>
      <c r="B339" s="8" t="s">
        <v>200</v>
      </c>
      <c r="C339" s="8" t="s">
        <v>95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7.77664361693896</v>
      </c>
      <c r="L339" s="8">
        <v>0.0666880967020237</v>
      </c>
      <c r="M339" s="8">
        <v>5.251169381756</v>
      </c>
    </row>
    <row r="340" spans="1:17">
      <c r="A340" s="8" t="s">
        <v>216</v>
      </c>
      <c r="B340" s="8" t="s">
        <v>200</v>
      </c>
      <c r="C340" s="8" t="s">
        <v>93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5.22716530245818</v>
      </c>
      <c r="L340" s="8">
        <v>0.45551771000718</v>
      </c>
      <c r="M340" s="8">
        <v>0</v>
      </c>
    </row>
    <row r="341" spans="1:17">
      <c r="A341" s="8" t="s">
        <v>216</v>
      </c>
      <c r="B341" s="8" t="s">
        <v>200</v>
      </c>
      <c r="C341" s="8" t="s">
        <v>96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1.4671329169921</v>
      </c>
      <c r="M341" s="8">
        <v>0</v>
      </c>
    </row>
    <row r="342" spans="1:17">
      <c r="A342" s="8" t="s">
        <v>216</v>
      </c>
      <c r="B342" s="8" t="s">
        <v>200</v>
      </c>
      <c r="C342" s="8" t="s">
        <v>94</v>
      </c>
      <c r="D342" s="8">
        <v>0</v>
      </c>
      <c r="E342" s="8">
        <v>0</v>
      </c>
      <c r="F342" s="8">
        <v>0</v>
      </c>
      <c r="G342" s="8">
        <v>1.90775795168016</v>
      </c>
      <c r="H342" s="8">
        <v>0</v>
      </c>
      <c r="I342" s="8">
        <v>6.72824043671211</v>
      </c>
      <c r="J342" s="8">
        <v>0</v>
      </c>
      <c r="K342" s="8">
        <v>0.467119527655457</v>
      </c>
      <c r="L342" s="8">
        <v>0.533503036088351</v>
      </c>
      <c r="M342" s="8">
        <v>1.06384761247308</v>
      </c>
    </row>
    <row r="343" spans="1:17">
      <c r="A343" s="8" t="s">
        <v>216</v>
      </c>
      <c r="B343" s="8" t="s">
        <v>201</v>
      </c>
      <c r="C343" s="8" t="s">
        <v>202</v>
      </c>
      <c r="D343" s="8">
        <v>0</v>
      </c>
      <c r="E343" s="8">
        <v>0</v>
      </c>
      <c r="F343" s="8">
        <v>0</v>
      </c>
      <c r="G343" s="8">
        <v>3.18836685698648</v>
      </c>
      <c r="H343" s="8">
        <v>0</v>
      </c>
      <c r="I343" s="8">
        <v>0</v>
      </c>
      <c r="J343" s="8">
        <v>0</v>
      </c>
      <c r="K343" s="8">
        <v>0</v>
      </c>
      <c r="L343" s="8">
        <v>0.631614349957419</v>
      </c>
      <c r="M343" s="8">
        <v>2.82755495586664</v>
      </c>
    </row>
    <row r="345" spans="1:17">
      <c r="N345" s="11" t="s">
        <v>203</v>
      </c>
      <c r="O345" s="11" t="s">
        <v>203</v>
      </c>
      <c r="P345" s="11" t="s">
        <v>204</v>
      </c>
      <c r="Q345" s="11" t="s">
        <v>204</v>
      </c>
    </row>
    <row r="346" spans="1:17">
      <c r="B346" s="8" t="s">
        <v>216</v>
      </c>
      <c r="C346" s="8" t="s">
        <v>188</v>
      </c>
      <c r="D346" s="8">
        <f t="shared" ref="D346:M346" si="159">D329</f>
        <v>0</v>
      </c>
      <c r="E346" s="8">
        <f t="shared" si="159"/>
        <v>0</v>
      </c>
      <c r="F346" s="8">
        <f t="shared" si="159"/>
        <v>0</v>
      </c>
      <c r="G346" s="8">
        <f t="shared" si="159"/>
        <v>1.70433876942954</v>
      </c>
      <c r="H346" s="8">
        <f t="shared" si="159"/>
        <v>0</v>
      </c>
      <c r="I346" s="8">
        <f t="shared" si="159"/>
        <v>0</v>
      </c>
      <c r="J346" s="8">
        <f t="shared" si="159"/>
        <v>0</v>
      </c>
      <c r="K346" s="8">
        <f t="shared" si="159"/>
        <v>0</v>
      </c>
      <c r="L346" s="8">
        <f t="shared" si="159"/>
        <v>0</v>
      </c>
      <c r="M346" s="8">
        <f t="shared" si="159"/>
        <v>0</v>
      </c>
      <c r="N346" s="8">
        <f t="shared" ref="N346:N353" si="160">AVERAGE(D346:H346)</f>
        <v>0.340867753885908</v>
      </c>
      <c r="O346" s="8">
        <f t="shared" ref="O346:O353" si="161">AVERAGE(I346:M346)</f>
        <v>0</v>
      </c>
      <c r="P346" s="8">
        <f t="shared" ref="P346:P353" si="162">LOG(N346+1,2)</f>
        <v>0.423166955198199</v>
      </c>
      <c r="Q346" s="8">
        <f t="shared" ref="Q346:Q353" si="163">LOG(O346+1,2)</f>
        <v>0</v>
      </c>
    </row>
    <row r="347" spans="1:17">
      <c r="B347" s="8" t="s">
        <v>216</v>
      </c>
      <c r="C347" s="8" t="s">
        <v>190</v>
      </c>
      <c r="D347" s="8">
        <f t="shared" ref="D347:M347" si="164">D330</f>
        <v>0</v>
      </c>
      <c r="E347" s="8">
        <f t="shared" si="164"/>
        <v>0</v>
      </c>
      <c r="F347" s="8">
        <f t="shared" si="164"/>
        <v>0</v>
      </c>
      <c r="G347" s="8">
        <f t="shared" si="164"/>
        <v>0</v>
      </c>
      <c r="H347" s="8">
        <f t="shared" si="164"/>
        <v>0</v>
      </c>
      <c r="I347" s="8">
        <f t="shared" si="164"/>
        <v>0</v>
      </c>
      <c r="J347" s="8">
        <f t="shared" si="164"/>
        <v>0</v>
      </c>
      <c r="K347" s="8">
        <f t="shared" si="164"/>
        <v>0</v>
      </c>
      <c r="L347" s="8">
        <f t="shared" si="164"/>
        <v>0</v>
      </c>
      <c r="M347" s="8">
        <f t="shared" si="164"/>
        <v>0</v>
      </c>
      <c r="N347" s="8">
        <f t="shared" si="160"/>
        <v>0</v>
      </c>
      <c r="O347" s="8">
        <f t="shared" si="161"/>
        <v>0</v>
      </c>
      <c r="P347" s="8">
        <f t="shared" si="162"/>
        <v>0</v>
      </c>
      <c r="Q347" s="8">
        <f t="shared" si="163"/>
        <v>0</v>
      </c>
    </row>
    <row r="348" spans="1:17">
      <c r="B348" s="8" t="s">
        <v>216</v>
      </c>
      <c r="C348" s="8" t="s">
        <v>192</v>
      </c>
      <c r="D348" s="8">
        <f t="shared" ref="D348:M348" si="165">D331+D332</f>
        <v>0</v>
      </c>
      <c r="E348" s="8">
        <f t="shared" si="165"/>
        <v>0</v>
      </c>
      <c r="F348" s="8">
        <f t="shared" si="165"/>
        <v>0</v>
      </c>
      <c r="G348" s="8">
        <f t="shared" si="165"/>
        <v>4.7003069227965</v>
      </c>
      <c r="H348" s="8">
        <f t="shared" si="165"/>
        <v>0</v>
      </c>
      <c r="I348" s="8">
        <f t="shared" si="165"/>
        <v>0</v>
      </c>
      <c r="J348" s="8">
        <f t="shared" si="165"/>
        <v>0</v>
      </c>
      <c r="K348" s="8">
        <f t="shared" si="165"/>
        <v>0</v>
      </c>
      <c r="L348" s="8">
        <f t="shared" si="165"/>
        <v>0</v>
      </c>
      <c r="M348" s="8">
        <f t="shared" si="165"/>
        <v>0</v>
      </c>
      <c r="N348" s="8">
        <f t="shared" si="160"/>
        <v>0.9400613845593</v>
      </c>
      <c r="O348" s="8">
        <f t="shared" si="161"/>
        <v>0</v>
      </c>
      <c r="P348" s="8">
        <f t="shared" si="162"/>
        <v>0.956102300762014</v>
      </c>
      <c r="Q348" s="8">
        <f t="shared" si="163"/>
        <v>0</v>
      </c>
    </row>
    <row r="349" spans="1:17">
      <c r="B349" s="8" t="s">
        <v>216</v>
      </c>
      <c r="C349" s="8" t="s">
        <v>195</v>
      </c>
      <c r="D349" s="8">
        <f t="shared" ref="D349:M349" si="166">SUM(D333:D334)</f>
        <v>0</v>
      </c>
      <c r="E349" s="8">
        <f t="shared" si="166"/>
        <v>0</v>
      </c>
      <c r="F349" s="8">
        <f t="shared" si="166"/>
        <v>0</v>
      </c>
      <c r="G349" s="8">
        <f t="shared" si="166"/>
        <v>0</v>
      </c>
      <c r="H349" s="8">
        <f t="shared" si="166"/>
        <v>0</v>
      </c>
      <c r="I349" s="8">
        <f t="shared" si="166"/>
        <v>0</v>
      </c>
      <c r="J349" s="8">
        <f t="shared" si="166"/>
        <v>0</v>
      </c>
      <c r="K349" s="8">
        <f t="shared" si="166"/>
        <v>0</v>
      </c>
      <c r="L349" s="8">
        <f t="shared" si="166"/>
        <v>3.66784161425134</v>
      </c>
      <c r="M349" s="8">
        <f t="shared" si="166"/>
        <v>22.176658336023</v>
      </c>
      <c r="N349" s="8">
        <f t="shared" si="160"/>
        <v>0</v>
      </c>
      <c r="O349" s="8">
        <f t="shared" si="161"/>
        <v>5.16889999005487</v>
      </c>
      <c r="P349" s="8">
        <f t="shared" si="162"/>
        <v>0</v>
      </c>
      <c r="Q349" s="8">
        <f t="shared" si="163"/>
        <v>2.62501325754718</v>
      </c>
    </row>
    <row r="350" spans="1:17">
      <c r="B350" s="8" t="s">
        <v>216</v>
      </c>
      <c r="C350" s="8" t="s">
        <v>198</v>
      </c>
      <c r="D350" s="8">
        <f t="shared" ref="D350:M350" si="167">D335</f>
        <v>0</v>
      </c>
      <c r="E350" s="8">
        <f t="shared" si="167"/>
        <v>0</v>
      </c>
      <c r="F350" s="8">
        <f t="shared" si="167"/>
        <v>0</v>
      </c>
      <c r="G350" s="8">
        <f t="shared" si="167"/>
        <v>0</v>
      </c>
      <c r="H350" s="8">
        <f t="shared" si="167"/>
        <v>0</v>
      </c>
      <c r="I350" s="8">
        <f t="shared" si="167"/>
        <v>0</v>
      </c>
      <c r="J350" s="8">
        <f t="shared" si="167"/>
        <v>0</v>
      </c>
      <c r="K350" s="8">
        <f t="shared" si="167"/>
        <v>0</v>
      </c>
      <c r="L350" s="8">
        <f t="shared" si="167"/>
        <v>0</v>
      </c>
      <c r="M350" s="8">
        <f t="shared" si="167"/>
        <v>0</v>
      </c>
      <c r="N350" s="8">
        <f t="shared" si="160"/>
        <v>0</v>
      </c>
      <c r="O350" s="8">
        <f t="shared" si="161"/>
        <v>0</v>
      </c>
      <c r="P350" s="8">
        <f t="shared" si="162"/>
        <v>0</v>
      </c>
      <c r="Q350" s="8">
        <f t="shared" si="163"/>
        <v>0</v>
      </c>
    </row>
    <row r="351" spans="1:17">
      <c r="B351" s="8" t="s">
        <v>216</v>
      </c>
      <c r="C351" s="8" t="s">
        <v>36</v>
      </c>
      <c r="D351" s="8">
        <f t="shared" ref="D351:M351" si="168">D336</f>
        <v>0</v>
      </c>
      <c r="E351" s="8">
        <f t="shared" si="168"/>
        <v>0</v>
      </c>
      <c r="F351" s="8">
        <f t="shared" si="168"/>
        <v>0</v>
      </c>
      <c r="G351" s="8">
        <f t="shared" si="168"/>
        <v>0</v>
      </c>
      <c r="H351" s="8">
        <f t="shared" si="168"/>
        <v>0</v>
      </c>
      <c r="I351" s="8">
        <f t="shared" si="168"/>
        <v>0</v>
      </c>
      <c r="J351" s="8">
        <f t="shared" si="168"/>
        <v>0</v>
      </c>
      <c r="K351" s="8">
        <f t="shared" si="168"/>
        <v>0</v>
      </c>
      <c r="L351" s="8">
        <f t="shared" si="168"/>
        <v>0</v>
      </c>
      <c r="M351" s="8">
        <f t="shared" si="168"/>
        <v>0</v>
      </c>
      <c r="N351" s="8">
        <f t="shared" si="160"/>
        <v>0</v>
      </c>
      <c r="O351" s="8">
        <f t="shared" si="161"/>
        <v>0</v>
      </c>
      <c r="P351" s="8">
        <f t="shared" si="162"/>
        <v>0</v>
      </c>
      <c r="Q351" s="8">
        <f t="shared" si="163"/>
        <v>0</v>
      </c>
    </row>
    <row r="352" spans="1:17">
      <c r="B352" s="8" t="s">
        <v>216</v>
      </c>
      <c r="C352" s="8" t="s">
        <v>200</v>
      </c>
      <c r="D352" s="8">
        <f t="shared" ref="D352:M352" si="169">SUM(D337:D342)</f>
        <v>0</v>
      </c>
      <c r="E352" s="8">
        <f t="shared" si="169"/>
        <v>0</v>
      </c>
      <c r="F352" s="8">
        <f t="shared" si="169"/>
        <v>0</v>
      </c>
      <c r="G352" s="8">
        <f t="shared" si="169"/>
        <v>1.90775795168016</v>
      </c>
      <c r="H352" s="8">
        <f t="shared" si="169"/>
        <v>0</v>
      </c>
      <c r="I352" s="8">
        <f t="shared" si="169"/>
        <v>9.86808800831215</v>
      </c>
      <c r="J352" s="8">
        <f t="shared" si="169"/>
        <v>0</v>
      </c>
      <c r="K352" s="8">
        <f t="shared" si="169"/>
        <v>26.912358650342</v>
      </c>
      <c r="L352" s="8">
        <f t="shared" si="169"/>
        <v>20.3997982725542</v>
      </c>
      <c r="M352" s="8">
        <f t="shared" si="169"/>
        <v>6.31501699422908</v>
      </c>
      <c r="N352" s="8">
        <f t="shared" si="160"/>
        <v>0.381551590336033</v>
      </c>
      <c r="O352" s="8">
        <f t="shared" si="161"/>
        <v>12.6990523850875</v>
      </c>
      <c r="P352" s="8">
        <f t="shared" si="162"/>
        <v>0.466289436730396</v>
      </c>
      <c r="Q352" s="8">
        <f t="shared" si="163"/>
        <v>3.77600419488935</v>
      </c>
    </row>
    <row r="353" spans="1:17">
      <c r="B353" s="8" t="s">
        <v>216</v>
      </c>
      <c r="C353" s="8" t="s">
        <v>201</v>
      </c>
      <c r="D353" s="8">
        <f t="shared" ref="D353:M353" si="170">D343</f>
        <v>0</v>
      </c>
      <c r="E353" s="8">
        <f t="shared" si="170"/>
        <v>0</v>
      </c>
      <c r="F353" s="8">
        <f t="shared" si="170"/>
        <v>0</v>
      </c>
      <c r="G353" s="8">
        <f t="shared" si="170"/>
        <v>3.18836685698648</v>
      </c>
      <c r="H353" s="8">
        <f t="shared" si="170"/>
        <v>0</v>
      </c>
      <c r="I353" s="8">
        <f t="shared" si="170"/>
        <v>0</v>
      </c>
      <c r="J353" s="8">
        <f t="shared" si="170"/>
        <v>0</v>
      </c>
      <c r="K353" s="8">
        <f t="shared" si="170"/>
        <v>0</v>
      </c>
      <c r="L353" s="8">
        <f t="shared" si="170"/>
        <v>0.631614349957419</v>
      </c>
      <c r="M353" s="8">
        <f t="shared" si="170"/>
        <v>2.82755495586664</v>
      </c>
      <c r="N353" s="8">
        <f t="shared" si="160"/>
        <v>0.637673371397296</v>
      </c>
      <c r="O353" s="8">
        <f t="shared" si="161"/>
        <v>0.691833861164813</v>
      </c>
      <c r="P353" s="8">
        <f t="shared" si="162"/>
        <v>0.711647644857798</v>
      </c>
      <c r="Q353" s="8">
        <f t="shared" si="163"/>
        <v>0.758587902121009</v>
      </c>
    </row>
    <row r="356" spans="1:17">
      <c r="A356" s="18" t="s">
        <v>217</v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7">
      <c r="A357" s="8" t="s">
        <v>218</v>
      </c>
      <c r="B357" s="8" t="s">
        <v>188</v>
      </c>
      <c r="C357" s="8" t="s">
        <v>189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</row>
    <row r="358" spans="1:17">
      <c r="A358" s="8" t="s">
        <v>218</v>
      </c>
      <c r="B358" s="8" t="s">
        <v>190</v>
      </c>
      <c r="C358" s="8" t="s">
        <v>191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</row>
    <row r="359" spans="1:17">
      <c r="A359" s="8" t="s">
        <v>218</v>
      </c>
      <c r="B359" s="8" t="s">
        <v>192</v>
      </c>
      <c r="C359" s="8" t="s">
        <v>193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</row>
    <row r="360" spans="1:17">
      <c r="A360" s="8" t="s">
        <v>218</v>
      </c>
      <c r="B360" s="8" t="s">
        <v>192</v>
      </c>
      <c r="C360" s="8" t="s">
        <v>194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</row>
    <row r="361" spans="1:17">
      <c r="A361" s="8" t="s">
        <v>218</v>
      </c>
      <c r="B361" s="8" t="s">
        <v>195</v>
      </c>
      <c r="C361" s="8" t="s">
        <v>196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</row>
    <row r="362" spans="1:17">
      <c r="A362" s="8" t="s">
        <v>218</v>
      </c>
      <c r="B362" s="8" t="s">
        <v>195</v>
      </c>
      <c r="C362" s="8" t="s">
        <v>197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</row>
    <row r="363" spans="1:17">
      <c r="A363" s="8" t="s">
        <v>218</v>
      </c>
      <c r="B363" s="8" t="s">
        <v>198</v>
      </c>
      <c r="C363" s="8" t="s">
        <v>199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</row>
    <row r="364" spans="1:17">
      <c r="A364" s="8" t="s">
        <v>218</v>
      </c>
      <c r="B364" s="8" t="s">
        <v>36</v>
      </c>
      <c r="C364" s="8" t="s">
        <v>130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</row>
    <row r="365" spans="1:17">
      <c r="A365" s="8" t="s">
        <v>218</v>
      </c>
      <c r="B365" s="8" t="s">
        <v>200</v>
      </c>
      <c r="C365" s="8" t="s">
        <v>97</v>
      </c>
      <c r="D365" s="8">
        <v>0</v>
      </c>
      <c r="E365" s="8">
        <v>1.47637055101361</v>
      </c>
      <c r="F365" s="8">
        <v>0</v>
      </c>
      <c r="G365" s="8">
        <v>9.11345677549965</v>
      </c>
      <c r="H365" s="8">
        <v>0</v>
      </c>
      <c r="I365" s="8">
        <v>130.209393422277</v>
      </c>
      <c r="J365" s="8">
        <v>0</v>
      </c>
      <c r="K365" s="8">
        <v>0</v>
      </c>
      <c r="L365" s="8">
        <v>6.4683538484421</v>
      </c>
      <c r="M365" s="8">
        <v>0</v>
      </c>
    </row>
    <row r="366" spans="1:17">
      <c r="A366" s="8" t="s">
        <v>218</v>
      </c>
      <c r="B366" s="8" t="s">
        <v>200</v>
      </c>
      <c r="C366" s="8" t="s">
        <v>98</v>
      </c>
      <c r="D366" s="8">
        <v>0</v>
      </c>
      <c r="E366" s="8">
        <v>0.67103001237285</v>
      </c>
      <c r="F366" s="8">
        <v>0</v>
      </c>
      <c r="G366" s="8">
        <v>0</v>
      </c>
      <c r="H366" s="8">
        <v>0</v>
      </c>
      <c r="I366" s="8">
        <v>0</v>
      </c>
      <c r="J366" s="8">
        <v>6.1398882724712</v>
      </c>
      <c r="K366" s="8">
        <v>0</v>
      </c>
      <c r="L366" s="8">
        <v>12.2776631928751</v>
      </c>
      <c r="M366" s="8">
        <v>0</v>
      </c>
    </row>
    <row r="367" spans="1:17">
      <c r="A367" s="8" t="s">
        <v>218</v>
      </c>
      <c r="B367" s="8" t="s">
        <v>200</v>
      </c>
      <c r="C367" s="8" t="s">
        <v>95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13.8083344327423</v>
      </c>
      <c r="M367" s="8">
        <v>0</v>
      </c>
    </row>
    <row r="368" spans="1:17">
      <c r="A368" s="8" t="s">
        <v>218</v>
      </c>
      <c r="B368" s="8" t="s">
        <v>200</v>
      </c>
      <c r="C368" s="8" t="s">
        <v>93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</row>
    <row r="369" spans="1:17">
      <c r="A369" s="8" t="s">
        <v>218</v>
      </c>
      <c r="B369" s="8" t="s">
        <v>200</v>
      </c>
      <c r="C369" s="8" t="s">
        <v>96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</row>
    <row r="370" spans="1:17">
      <c r="A370" s="8" t="s">
        <v>218</v>
      </c>
      <c r="B370" s="8" t="s">
        <v>200</v>
      </c>
      <c r="C370" s="8" t="s">
        <v>94</v>
      </c>
      <c r="D370" s="8">
        <v>0</v>
      </c>
      <c r="E370" s="8">
        <v>0</v>
      </c>
      <c r="F370" s="8">
        <v>0.764884672892615</v>
      </c>
      <c r="G370" s="8">
        <v>2.55883226784574</v>
      </c>
      <c r="H370" s="8">
        <v>0</v>
      </c>
      <c r="I370" s="8">
        <v>0</v>
      </c>
      <c r="J370" s="8">
        <v>44.9678789530206</v>
      </c>
      <c r="K370" s="8">
        <v>5.30819868930488</v>
      </c>
      <c r="L370" s="8">
        <v>2.03096333734542</v>
      </c>
      <c r="M370" s="8">
        <v>0</v>
      </c>
    </row>
    <row r="371" spans="1:17">
      <c r="A371" s="8" t="s">
        <v>218</v>
      </c>
      <c r="B371" s="8" t="s">
        <v>201</v>
      </c>
      <c r="C371" s="8" t="s">
        <v>202</v>
      </c>
      <c r="D371" s="8">
        <v>0</v>
      </c>
      <c r="E371" s="8">
        <v>1.54536331918031</v>
      </c>
      <c r="F371" s="8">
        <v>0</v>
      </c>
      <c r="G371" s="8">
        <v>3.93430044162941</v>
      </c>
      <c r="H371" s="8">
        <v>0</v>
      </c>
      <c r="I371" s="8">
        <v>0</v>
      </c>
      <c r="J371" s="8">
        <v>0</v>
      </c>
      <c r="K371" s="8">
        <v>0</v>
      </c>
      <c r="L371" s="8">
        <v>6.63248829315321</v>
      </c>
      <c r="M371" s="8">
        <v>11.6078446039747</v>
      </c>
    </row>
    <row r="373" spans="1:17">
      <c r="N373" s="11" t="s">
        <v>203</v>
      </c>
      <c r="O373" s="11" t="s">
        <v>203</v>
      </c>
      <c r="P373" s="11" t="s">
        <v>204</v>
      </c>
      <c r="Q373" s="11" t="s">
        <v>204</v>
      </c>
    </row>
    <row r="374" spans="1:17">
      <c r="B374" s="8" t="s">
        <v>218</v>
      </c>
      <c r="C374" s="8" t="s">
        <v>188</v>
      </c>
      <c r="D374" s="8">
        <f t="shared" ref="D374:M374" si="171">D357</f>
        <v>0</v>
      </c>
      <c r="E374" s="8">
        <f t="shared" si="171"/>
        <v>0</v>
      </c>
      <c r="F374" s="8">
        <f t="shared" si="171"/>
        <v>0</v>
      </c>
      <c r="G374" s="8">
        <f t="shared" si="171"/>
        <v>0</v>
      </c>
      <c r="H374" s="8">
        <f t="shared" si="171"/>
        <v>0</v>
      </c>
      <c r="I374" s="8">
        <f t="shared" si="171"/>
        <v>0</v>
      </c>
      <c r="J374" s="8">
        <f t="shared" si="171"/>
        <v>0</v>
      </c>
      <c r="K374" s="8">
        <f t="shared" si="171"/>
        <v>0</v>
      </c>
      <c r="L374" s="8">
        <f t="shared" si="171"/>
        <v>0</v>
      </c>
      <c r="M374" s="8">
        <f t="shared" si="171"/>
        <v>0</v>
      </c>
      <c r="N374" s="8">
        <f t="shared" ref="N374:N381" si="172">AVERAGE(D374:H374)</f>
        <v>0</v>
      </c>
      <c r="O374" s="8">
        <f t="shared" ref="O374:O381" si="173">AVERAGE(I374:M374)</f>
        <v>0</v>
      </c>
      <c r="P374" s="8">
        <f t="shared" ref="P374:P381" si="174">LOG(N374+1,2)</f>
        <v>0</v>
      </c>
      <c r="Q374" s="8">
        <f t="shared" ref="Q374:Q381" si="175">LOG(O374+1,2)</f>
        <v>0</v>
      </c>
    </row>
    <row r="375" spans="1:17">
      <c r="B375" s="8" t="s">
        <v>218</v>
      </c>
      <c r="C375" s="8" t="s">
        <v>190</v>
      </c>
      <c r="D375" s="8">
        <f t="shared" ref="D375:M375" si="176">D358</f>
        <v>0</v>
      </c>
      <c r="E375" s="8">
        <f t="shared" si="176"/>
        <v>0</v>
      </c>
      <c r="F375" s="8">
        <f t="shared" si="176"/>
        <v>0</v>
      </c>
      <c r="G375" s="8">
        <f t="shared" si="176"/>
        <v>0</v>
      </c>
      <c r="H375" s="8">
        <f t="shared" si="176"/>
        <v>0</v>
      </c>
      <c r="I375" s="8">
        <f t="shared" si="176"/>
        <v>0</v>
      </c>
      <c r="J375" s="8">
        <f t="shared" si="176"/>
        <v>0</v>
      </c>
      <c r="K375" s="8">
        <f t="shared" si="176"/>
        <v>0</v>
      </c>
      <c r="L375" s="8">
        <f t="shared" si="176"/>
        <v>0</v>
      </c>
      <c r="M375" s="8">
        <f t="shared" si="176"/>
        <v>0</v>
      </c>
      <c r="N375" s="8">
        <f t="shared" si="172"/>
        <v>0</v>
      </c>
      <c r="O375" s="8">
        <f t="shared" si="173"/>
        <v>0</v>
      </c>
      <c r="P375" s="8">
        <f t="shared" si="174"/>
        <v>0</v>
      </c>
      <c r="Q375" s="8">
        <f t="shared" si="175"/>
        <v>0</v>
      </c>
    </row>
    <row r="376" spans="1:17">
      <c r="B376" s="8" t="s">
        <v>218</v>
      </c>
      <c r="C376" s="8" t="s">
        <v>192</v>
      </c>
      <c r="D376" s="8">
        <f t="shared" ref="D376:M376" si="177">D359+D360</f>
        <v>0</v>
      </c>
      <c r="E376" s="8">
        <f t="shared" si="177"/>
        <v>0</v>
      </c>
      <c r="F376" s="8">
        <f t="shared" si="177"/>
        <v>0</v>
      </c>
      <c r="G376" s="8">
        <f t="shared" si="177"/>
        <v>0</v>
      </c>
      <c r="H376" s="8">
        <f t="shared" si="177"/>
        <v>0</v>
      </c>
      <c r="I376" s="8">
        <f t="shared" si="177"/>
        <v>0</v>
      </c>
      <c r="J376" s="8">
        <f t="shared" si="177"/>
        <v>0</v>
      </c>
      <c r="K376" s="8">
        <f t="shared" si="177"/>
        <v>0</v>
      </c>
      <c r="L376" s="8">
        <f t="shared" si="177"/>
        <v>0</v>
      </c>
      <c r="M376" s="8">
        <f t="shared" si="177"/>
        <v>0</v>
      </c>
      <c r="N376" s="8">
        <f t="shared" si="172"/>
        <v>0</v>
      </c>
      <c r="O376" s="8">
        <f t="shared" si="173"/>
        <v>0</v>
      </c>
      <c r="P376" s="8">
        <f t="shared" si="174"/>
        <v>0</v>
      </c>
      <c r="Q376" s="8">
        <f t="shared" si="175"/>
        <v>0</v>
      </c>
    </row>
    <row r="377" spans="1:17">
      <c r="B377" s="8" t="s">
        <v>218</v>
      </c>
      <c r="C377" s="8" t="s">
        <v>195</v>
      </c>
      <c r="D377" s="8">
        <f t="shared" ref="D377:M377" si="178">SUM(D361:D362)</f>
        <v>0</v>
      </c>
      <c r="E377" s="8">
        <f t="shared" si="178"/>
        <v>0</v>
      </c>
      <c r="F377" s="8">
        <f t="shared" si="178"/>
        <v>0</v>
      </c>
      <c r="G377" s="8">
        <f t="shared" si="178"/>
        <v>0</v>
      </c>
      <c r="H377" s="8">
        <f t="shared" si="178"/>
        <v>0</v>
      </c>
      <c r="I377" s="8">
        <f t="shared" si="178"/>
        <v>0</v>
      </c>
      <c r="J377" s="8">
        <f t="shared" si="178"/>
        <v>0</v>
      </c>
      <c r="K377" s="8">
        <f t="shared" si="178"/>
        <v>0</v>
      </c>
      <c r="L377" s="8">
        <f t="shared" si="178"/>
        <v>0</v>
      </c>
      <c r="M377" s="8">
        <f t="shared" si="178"/>
        <v>0</v>
      </c>
      <c r="N377" s="8">
        <f t="shared" si="172"/>
        <v>0</v>
      </c>
      <c r="O377" s="8">
        <f t="shared" si="173"/>
        <v>0</v>
      </c>
      <c r="P377" s="8">
        <f t="shared" si="174"/>
        <v>0</v>
      </c>
      <c r="Q377" s="8">
        <f t="shared" si="175"/>
        <v>0</v>
      </c>
    </row>
    <row r="378" spans="1:17">
      <c r="B378" s="8" t="s">
        <v>218</v>
      </c>
      <c r="C378" s="8" t="s">
        <v>198</v>
      </c>
      <c r="D378" s="8">
        <f t="shared" ref="D378:M378" si="179">D363</f>
        <v>0</v>
      </c>
      <c r="E378" s="8">
        <f t="shared" si="179"/>
        <v>0</v>
      </c>
      <c r="F378" s="8">
        <f t="shared" si="179"/>
        <v>0</v>
      </c>
      <c r="G378" s="8">
        <f t="shared" si="179"/>
        <v>0</v>
      </c>
      <c r="H378" s="8">
        <f t="shared" si="179"/>
        <v>0</v>
      </c>
      <c r="I378" s="8">
        <f t="shared" si="179"/>
        <v>0</v>
      </c>
      <c r="J378" s="8">
        <f t="shared" si="179"/>
        <v>0</v>
      </c>
      <c r="K378" s="8">
        <f t="shared" si="179"/>
        <v>0</v>
      </c>
      <c r="L378" s="8">
        <f t="shared" si="179"/>
        <v>0</v>
      </c>
      <c r="M378" s="8">
        <f t="shared" si="179"/>
        <v>0</v>
      </c>
      <c r="N378" s="8">
        <f t="shared" si="172"/>
        <v>0</v>
      </c>
      <c r="O378" s="8">
        <f t="shared" si="173"/>
        <v>0</v>
      </c>
      <c r="P378" s="8">
        <f t="shared" si="174"/>
        <v>0</v>
      </c>
      <c r="Q378" s="8">
        <f t="shared" si="175"/>
        <v>0</v>
      </c>
    </row>
    <row r="379" spans="1:17">
      <c r="B379" s="8" t="s">
        <v>218</v>
      </c>
      <c r="C379" s="8" t="s">
        <v>36</v>
      </c>
      <c r="D379" s="8">
        <f t="shared" ref="D379:M379" si="180">D364</f>
        <v>0</v>
      </c>
      <c r="E379" s="8">
        <f t="shared" si="180"/>
        <v>0</v>
      </c>
      <c r="F379" s="8">
        <f t="shared" si="180"/>
        <v>0</v>
      </c>
      <c r="G379" s="8">
        <f t="shared" si="180"/>
        <v>0</v>
      </c>
      <c r="H379" s="8">
        <f t="shared" si="180"/>
        <v>0</v>
      </c>
      <c r="I379" s="8">
        <f t="shared" si="180"/>
        <v>0</v>
      </c>
      <c r="J379" s="8">
        <f t="shared" si="180"/>
        <v>0</v>
      </c>
      <c r="K379" s="8">
        <f t="shared" si="180"/>
        <v>0</v>
      </c>
      <c r="L379" s="8">
        <f t="shared" si="180"/>
        <v>0</v>
      </c>
      <c r="M379" s="8">
        <f t="shared" si="180"/>
        <v>0</v>
      </c>
      <c r="N379" s="8">
        <f t="shared" si="172"/>
        <v>0</v>
      </c>
      <c r="O379" s="8">
        <f t="shared" si="173"/>
        <v>0</v>
      </c>
      <c r="P379" s="8">
        <f t="shared" si="174"/>
        <v>0</v>
      </c>
      <c r="Q379" s="8">
        <f t="shared" si="175"/>
        <v>0</v>
      </c>
    </row>
    <row r="380" spans="1:17">
      <c r="B380" s="8" t="s">
        <v>218</v>
      </c>
      <c r="C380" s="8" t="s">
        <v>200</v>
      </c>
      <c r="D380" s="8">
        <f t="shared" ref="D380:M380" si="181">SUM(D365:D370)</f>
        <v>0</v>
      </c>
      <c r="E380" s="8">
        <f t="shared" si="181"/>
        <v>2.14740056338646</v>
      </c>
      <c r="F380" s="8">
        <f t="shared" si="181"/>
        <v>0.764884672892615</v>
      </c>
      <c r="G380" s="8">
        <f t="shared" si="181"/>
        <v>11.6722890433454</v>
      </c>
      <c r="H380" s="8">
        <f t="shared" si="181"/>
        <v>0</v>
      </c>
      <c r="I380" s="8">
        <f t="shared" si="181"/>
        <v>130.209393422277</v>
      </c>
      <c r="J380" s="8">
        <f t="shared" si="181"/>
        <v>51.1077672254918</v>
      </c>
      <c r="K380" s="8">
        <f t="shared" si="181"/>
        <v>5.30819868930488</v>
      </c>
      <c r="L380" s="8">
        <f t="shared" si="181"/>
        <v>34.5853148114049</v>
      </c>
      <c r="M380" s="8">
        <f t="shared" si="181"/>
        <v>0</v>
      </c>
      <c r="N380" s="8">
        <f t="shared" si="172"/>
        <v>2.91691485592489</v>
      </c>
      <c r="O380" s="8">
        <f t="shared" si="173"/>
        <v>44.2421348296957</v>
      </c>
      <c r="P380" s="8">
        <f t="shared" si="174"/>
        <v>1.96971776799507</v>
      </c>
      <c r="Q380" s="8">
        <f t="shared" si="175"/>
        <v>5.49959510192395</v>
      </c>
    </row>
    <row r="381" spans="1:17">
      <c r="B381" s="8" t="s">
        <v>218</v>
      </c>
      <c r="C381" s="8" t="s">
        <v>201</v>
      </c>
      <c r="D381" s="8">
        <f t="shared" ref="D381:M381" si="182">D371</f>
        <v>0</v>
      </c>
      <c r="E381" s="8">
        <f t="shared" si="182"/>
        <v>1.54536331918031</v>
      </c>
      <c r="F381" s="8">
        <f t="shared" si="182"/>
        <v>0</v>
      </c>
      <c r="G381" s="8">
        <f t="shared" si="182"/>
        <v>3.93430044162941</v>
      </c>
      <c r="H381" s="8">
        <f t="shared" si="182"/>
        <v>0</v>
      </c>
      <c r="I381" s="8">
        <f t="shared" si="182"/>
        <v>0</v>
      </c>
      <c r="J381" s="8">
        <f t="shared" si="182"/>
        <v>0</v>
      </c>
      <c r="K381" s="8">
        <f t="shared" si="182"/>
        <v>0</v>
      </c>
      <c r="L381" s="8">
        <f t="shared" si="182"/>
        <v>6.63248829315321</v>
      </c>
      <c r="M381" s="8">
        <f t="shared" si="182"/>
        <v>11.6078446039747</v>
      </c>
      <c r="N381" s="8">
        <f t="shared" si="172"/>
        <v>1.09593275216194</v>
      </c>
      <c r="O381" s="8">
        <f t="shared" si="173"/>
        <v>3.64806657942558</v>
      </c>
      <c r="P381" s="8">
        <f t="shared" si="174"/>
        <v>1.06759242886064</v>
      </c>
      <c r="Q381" s="8">
        <f t="shared" si="175"/>
        <v>2.21663073421558</v>
      </c>
    </row>
    <row r="384" spans="1:17">
      <c r="A384" s="8" t="s">
        <v>219</v>
      </c>
      <c r="B384" s="8" t="s">
        <v>188</v>
      </c>
      <c r="C384" s="8" t="s">
        <v>189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</row>
    <row r="385" spans="1:17">
      <c r="A385" s="8" t="s">
        <v>219</v>
      </c>
      <c r="B385" s="8" t="s">
        <v>190</v>
      </c>
      <c r="C385" s="8" t="s">
        <v>191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</row>
    <row r="386" spans="1:17">
      <c r="A386" s="8" t="s">
        <v>219</v>
      </c>
      <c r="B386" s="8" t="s">
        <v>192</v>
      </c>
      <c r="C386" s="8" t="s">
        <v>193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</row>
    <row r="387" spans="1:17">
      <c r="A387" s="8" t="s">
        <v>219</v>
      </c>
      <c r="B387" s="8" t="s">
        <v>192</v>
      </c>
      <c r="C387" s="8" t="s">
        <v>194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</row>
    <row r="388" spans="1:17">
      <c r="A388" s="8" t="s">
        <v>219</v>
      </c>
      <c r="B388" s="8" t="s">
        <v>195</v>
      </c>
      <c r="C388" s="8" t="s">
        <v>196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</row>
    <row r="389" spans="1:17">
      <c r="A389" s="8" t="s">
        <v>219</v>
      </c>
      <c r="B389" s="8" t="s">
        <v>195</v>
      </c>
      <c r="C389" s="8" t="s">
        <v>197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</row>
    <row r="390" spans="1:17">
      <c r="A390" s="8" t="s">
        <v>219</v>
      </c>
      <c r="B390" s="8" t="s">
        <v>198</v>
      </c>
      <c r="C390" s="8" t="s">
        <v>199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</row>
    <row r="391" spans="1:17">
      <c r="A391" s="8" t="s">
        <v>219</v>
      </c>
      <c r="B391" s="8" t="s">
        <v>36</v>
      </c>
      <c r="C391" s="8" t="s">
        <v>130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</row>
    <row r="392" spans="1:17">
      <c r="A392" s="8" t="s">
        <v>219</v>
      </c>
      <c r="B392" s="8" t="s">
        <v>200</v>
      </c>
      <c r="C392" s="8" t="s">
        <v>97</v>
      </c>
      <c r="D392" s="8">
        <v>0</v>
      </c>
      <c r="E392" s="8">
        <v>5.64350731898456</v>
      </c>
      <c r="F392" s="8">
        <v>0</v>
      </c>
      <c r="G392" s="8">
        <v>7.04789378309717</v>
      </c>
      <c r="H392" s="8">
        <v>0</v>
      </c>
      <c r="I392" s="8">
        <v>0</v>
      </c>
      <c r="J392" s="8">
        <v>154.386971483417</v>
      </c>
      <c r="K392" s="8">
        <v>16.6640572578911</v>
      </c>
      <c r="L392" s="8">
        <v>6.94578424085052</v>
      </c>
      <c r="M392" s="8">
        <v>46.722319912842</v>
      </c>
    </row>
    <row r="393" spans="1:17">
      <c r="A393" s="8" t="s">
        <v>219</v>
      </c>
      <c r="B393" s="8" t="s">
        <v>200</v>
      </c>
      <c r="C393" s="8" t="s">
        <v>98</v>
      </c>
      <c r="D393" s="8">
        <v>0</v>
      </c>
      <c r="E393" s="8">
        <v>0</v>
      </c>
      <c r="F393" s="8">
        <v>70.0912139612697</v>
      </c>
      <c r="G393" s="8">
        <v>3.07429720723553</v>
      </c>
      <c r="H393" s="8">
        <v>0</v>
      </c>
      <c r="I393" s="8">
        <v>11.7398352439312</v>
      </c>
      <c r="J393" s="8">
        <v>32.4269002360578</v>
      </c>
      <c r="K393" s="8">
        <v>5.12102384436465</v>
      </c>
      <c r="L393" s="8">
        <v>21.6789913504423</v>
      </c>
      <c r="M393" s="8">
        <v>0.42077529318927</v>
      </c>
    </row>
    <row r="394" spans="1:17">
      <c r="A394" s="8" t="s">
        <v>219</v>
      </c>
      <c r="B394" s="8" t="s">
        <v>200</v>
      </c>
      <c r="C394" s="8" t="s">
        <v>95</v>
      </c>
      <c r="D394" s="8">
        <v>0</v>
      </c>
      <c r="E394" s="8">
        <v>8.6394344203404</v>
      </c>
      <c r="F394" s="8">
        <v>0</v>
      </c>
      <c r="G394" s="8">
        <v>7.53283182308001</v>
      </c>
      <c r="H394" s="8">
        <v>0</v>
      </c>
      <c r="I394" s="8">
        <v>0</v>
      </c>
      <c r="J394" s="8">
        <v>0</v>
      </c>
      <c r="K394" s="8">
        <v>7.18841791874272</v>
      </c>
      <c r="L394" s="8">
        <v>16.9753841656066</v>
      </c>
      <c r="M394" s="8">
        <v>9.14714307494411</v>
      </c>
    </row>
    <row r="395" spans="1:17">
      <c r="A395" s="8" t="s">
        <v>219</v>
      </c>
      <c r="B395" s="8" t="s">
        <v>200</v>
      </c>
      <c r="C395" s="8" t="s">
        <v>93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</row>
    <row r="396" spans="1:17">
      <c r="A396" s="8" t="s">
        <v>219</v>
      </c>
      <c r="B396" s="8" t="s">
        <v>200</v>
      </c>
      <c r="C396" s="8" t="s">
        <v>96</v>
      </c>
      <c r="D396" s="8">
        <v>0</v>
      </c>
      <c r="E396" s="8">
        <v>2.88679557887504</v>
      </c>
      <c r="F396" s="8">
        <v>0</v>
      </c>
      <c r="G396" s="8">
        <v>16.0915450024051</v>
      </c>
      <c r="H396" s="8">
        <v>0</v>
      </c>
      <c r="I396" s="8">
        <v>15.5145301066056</v>
      </c>
      <c r="J396" s="8">
        <v>0</v>
      </c>
      <c r="K396" s="8">
        <v>9.90090910542169</v>
      </c>
      <c r="L396" s="8">
        <v>2.54858830981056</v>
      </c>
      <c r="M396" s="8">
        <v>4.77405159148835</v>
      </c>
    </row>
    <row r="397" spans="1:17">
      <c r="A397" s="8" t="s">
        <v>219</v>
      </c>
      <c r="B397" s="8" t="s">
        <v>200</v>
      </c>
      <c r="C397" s="8" t="s">
        <v>94</v>
      </c>
      <c r="D397" s="8">
        <v>0</v>
      </c>
      <c r="E397" s="8">
        <v>7.93868394032925</v>
      </c>
      <c r="F397" s="8">
        <v>0</v>
      </c>
      <c r="G397" s="8">
        <v>4.12798805473743</v>
      </c>
      <c r="H397" s="8">
        <v>0</v>
      </c>
      <c r="I397" s="8">
        <v>1.15488586525751</v>
      </c>
      <c r="J397" s="8">
        <v>0</v>
      </c>
      <c r="K397" s="8">
        <v>11.670617868665</v>
      </c>
      <c r="L397" s="8">
        <v>4.0244337870991</v>
      </c>
      <c r="M397" s="8">
        <v>7.32103410962564</v>
      </c>
    </row>
    <row r="398" spans="1:17">
      <c r="A398" s="8" t="s">
        <v>219</v>
      </c>
      <c r="B398" s="8" t="s">
        <v>201</v>
      </c>
      <c r="C398" s="8" t="s">
        <v>202</v>
      </c>
      <c r="D398" s="8">
        <v>0</v>
      </c>
      <c r="E398" s="8">
        <v>0</v>
      </c>
      <c r="F398" s="8">
        <v>0</v>
      </c>
      <c r="G398" s="8">
        <v>21.3032095796316</v>
      </c>
      <c r="H398" s="8">
        <v>0</v>
      </c>
      <c r="I398" s="8">
        <v>7.72885029996251</v>
      </c>
      <c r="J398" s="8">
        <v>0</v>
      </c>
      <c r="K398" s="8">
        <v>0</v>
      </c>
      <c r="L398" s="8">
        <v>23.2368048908445</v>
      </c>
      <c r="M398" s="8">
        <v>117.430397266912</v>
      </c>
    </row>
    <row r="400" spans="1:17">
      <c r="N400" s="11" t="s">
        <v>203</v>
      </c>
      <c r="O400" s="11" t="s">
        <v>203</v>
      </c>
      <c r="P400" s="11" t="s">
        <v>204</v>
      </c>
      <c r="Q400" s="11" t="s">
        <v>204</v>
      </c>
    </row>
    <row r="401" spans="1:17">
      <c r="B401" s="8" t="s">
        <v>219</v>
      </c>
      <c r="C401" s="8" t="s">
        <v>188</v>
      </c>
      <c r="D401" s="8">
        <f t="shared" ref="D401:M401" si="183">D384</f>
        <v>0</v>
      </c>
      <c r="E401" s="8">
        <f t="shared" si="183"/>
        <v>0</v>
      </c>
      <c r="F401" s="8">
        <f t="shared" si="183"/>
        <v>0</v>
      </c>
      <c r="G401" s="8">
        <f t="shared" si="183"/>
        <v>0</v>
      </c>
      <c r="H401" s="8">
        <f t="shared" si="183"/>
        <v>0</v>
      </c>
      <c r="I401" s="8">
        <f t="shared" si="183"/>
        <v>0</v>
      </c>
      <c r="J401" s="8">
        <f t="shared" si="183"/>
        <v>0</v>
      </c>
      <c r="K401" s="8">
        <f t="shared" si="183"/>
        <v>0</v>
      </c>
      <c r="L401" s="8">
        <f t="shared" si="183"/>
        <v>0</v>
      </c>
      <c r="M401" s="8">
        <f t="shared" si="183"/>
        <v>0</v>
      </c>
      <c r="N401" s="8">
        <f t="shared" ref="N401:N408" si="184">AVERAGE(D401:H401)</f>
        <v>0</v>
      </c>
      <c r="O401" s="8">
        <f t="shared" ref="O401:O408" si="185">AVERAGE(I401:M401)</f>
        <v>0</v>
      </c>
      <c r="P401" s="8">
        <f t="shared" ref="P401:P408" si="186">LOG(N401+1,2)</f>
        <v>0</v>
      </c>
      <c r="Q401" s="8">
        <f t="shared" ref="Q401:Q408" si="187">LOG(O401+1,2)</f>
        <v>0</v>
      </c>
    </row>
    <row r="402" spans="1:17">
      <c r="B402" s="8" t="s">
        <v>219</v>
      </c>
      <c r="C402" s="8" t="s">
        <v>190</v>
      </c>
      <c r="D402" s="8">
        <f t="shared" ref="D402:M402" si="188">D385</f>
        <v>0</v>
      </c>
      <c r="E402" s="8">
        <f t="shared" si="188"/>
        <v>0</v>
      </c>
      <c r="F402" s="8">
        <f t="shared" si="188"/>
        <v>0</v>
      </c>
      <c r="G402" s="8">
        <f t="shared" si="188"/>
        <v>0</v>
      </c>
      <c r="H402" s="8">
        <f t="shared" si="188"/>
        <v>0</v>
      </c>
      <c r="I402" s="8">
        <f t="shared" si="188"/>
        <v>0</v>
      </c>
      <c r="J402" s="8">
        <f t="shared" si="188"/>
        <v>0</v>
      </c>
      <c r="K402" s="8">
        <f t="shared" si="188"/>
        <v>0</v>
      </c>
      <c r="L402" s="8">
        <f t="shared" si="188"/>
        <v>0</v>
      </c>
      <c r="M402" s="8">
        <f t="shared" si="188"/>
        <v>0</v>
      </c>
      <c r="N402" s="8">
        <f t="shared" si="184"/>
        <v>0</v>
      </c>
      <c r="O402" s="8">
        <f t="shared" si="185"/>
        <v>0</v>
      </c>
      <c r="P402" s="8">
        <f t="shared" si="186"/>
        <v>0</v>
      </c>
      <c r="Q402" s="8">
        <f t="shared" si="187"/>
        <v>0</v>
      </c>
    </row>
    <row r="403" spans="1:17">
      <c r="B403" s="8" t="s">
        <v>219</v>
      </c>
      <c r="C403" s="8" t="s">
        <v>192</v>
      </c>
      <c r="D403" s="8">
        <f t="shared" ref="D403:M403" si="189">D386+D387</f>
        <v>0</v>
      </c>
      <c r="E403" s="8">
        <f t="shared" si="189"/>
        <v>0</v>
      </c>
      <c r="F403" s="8">
        <f t="shared" si="189"/>
        <v>0</v>
      </c>
      <c r="G403" s="8">
        <f t="shared" si="189"/>
        <v>0</v>
      </c>
      <c r="H403" s="8">
        <f t="shared" si="189"/>
        <v>0</v>
      </c>
      <c r="I403" s="8">
        <f t="shared" si="189"/>
        <v>0</v>
      </c>
      <c r="J403" s="8">
        <f t="shared" si="189"/>
        <v>0</v>
      </c>
      <c r="K403" s="8">
        <f t="shared" si="189"/>
        <v>0</v>
      </c>
      <c r="L403" s="8">
        <f t="shared" si="189"/>
        <v>0</v>
      </c>
      <c r="M403" s="8">
        <f t="shared" si="189"/>
        <v>0</v>
      </c>
      <c r="N403" s="8">
        <f t="shared" si="184"/>
        <v>0</v>
      </c>
      <c r="O403" s="8">
        <f t="shared" si="185"/>
        <v>0</v>
      </c>
      <c r="P403" s="8">
        <f t="shared" si="186"/>
        <v>0</v>
      </c>
      <c r="Q403" s="8">
        <f t="shared" si="187"/>
        <v>0</v>
      </c>
    </row>
    <row r="404" spans="1:17">
      <c r="B404" s="8" t="s">
        <v>219</v>
      </c>
      <c r="C404" s="8" t="s">
        <v>195</v>
      </c>
      <c r="D404" s="8">
        <f t="shared" ref="D404:M404" si="190">SUM(D388:D389)</f>
        <v>0</v>
      </c>
      <c r="E404" s="8">
        <f t="shared" si="190"/>
        <v>0</v>
      </c>
      <c r="F404" s="8">
        <f t="shared" si="190"/>
        <v>0</v>
      </c>
      <c r="G404" s="8">
        <f t="shared" si="190"/>
        <v>0</v>
      </c>
      <c r="H404" s="8">
        <f t="shared" si="190"/>
        <v>0</v>
      </c>
      <c r="I404" s="8">
        <f t="shared" si="190"/>
        <v>0</v>
      </c>
      <c r="J404" s="8">
        <f t="shared" si="190"/>
        <v>0</v>
      </c>
      <c r="K404" s="8">
        <f t="shared" si="190"/>
        <v>0</v>
      </c>
      <c r="L404" s="8">
        <f t="shared" si="190"/>
        <v>0</v>
      </c>
      <c r="M404" s="8">
        <f t="shared" si="190"/>
        <v>0</v>
      </c>
      <c r="N404" s="8">
        <f t="shared" si="184"/>
        <v>0</v>
      </c>
      <c r="O404" s="8">
        <f t="shared" si="185"/>
        <v>0</v>
      </c>
      <c r="P404" s="8">
        <f t="shared" si="186"/>
        <v>0</v>
      </c>
      <c r="Q404" s="8">
        <f t="shared" si="187"/>
        <v>0</v>
      </c>
    </row>
    <row r="405" spans="1:17">
      <c r="B405" s="8" t="s">
        <v>219</v>
      </c>
      <c r="C405" s="8" t="s">
        <v>198</v>
      </c>
      <c r="D405" s="8">
        <f t="shared" ref="D405:M405" si="191">D390</f>
        <v>0</v>
      </c>
      <c r="E405" s="8">
        <f t="shared" si="191"/>
        <v>0</v>
      </c>
      <c r="F405" s="8">
        <f t="shared" si="191"/>
        <v>0</v>
      </c>
      <c r="G405" s="8">
        <f t="shared" si="191"/>
        <v>0</v>
      </c>
      <c r="H405" s="8">
        <f t="shared" si="191"/>
        <v>0</v>
      </c>
      <c r="I405" s="8">
        <f t="shared" si="191"/>
        <v>0</v>
      </c>
      <c r="J405" s="8">
        <f t="shared" si="191"/>
        <v>0</v>
      </c>
      <c r="K405" s="8">
        <f t="shared" si="191"/>
        <v>0</v>
      </c>
      <c r="L405" s="8">
        <f t="shared" si="191"/>
        <v>0</v>
      </c>
      <c r="M405" s="8">
        <f t="shared" si="191"/>
        <v>0</v>
      </c>
      <c r="N405" s="8">
        <f t="shared" si="184"/>
        <v>0</v>
      </c>
      <c r="O405" s="8">
        <f t="shared" si="185"/>
        <v>0</v>
      </c>
      <c r="P405" s="8">
        <f t="shared" si="186"/>
        <v>0</v>
      </c>
      <c r="Q405" s="8">
        <f t="shared" si="187"/>
        <v>0</v>
      </c>
    </row>
    <row r="406" spans="1:17">
      <c r="B406" s="8" t="s">
        <v>219</v>
      </c>
      <c r="C406" s="8" t="s">
        <v>36</v>
      </c>
      <c r="D406" s="8">
        <f t="shared" ref="D406:M406" si="192">D391</f>
        <v>0</v>
      </c>
      <c r="E406" s="8">
        <f t="shared" si="192"/>
        <v>0</v>
      </c>
      <c r="F406" s="8">
        <f t="shared" si="192"/>
        <v>0</v>
      </c>
      <c r="G406" s="8">
        <f t="shared" si="192"/>
        <v>0</v>
      </c>
      <c r="H406" s="8">
        <f t="shared" si="192"/>
        <v>0</v>
      </c>
      <c r="I406" s="8">
        <f t="shared" si="192"/>
        <v>0</v>
      </c>
      <c r="J406" s="8">
        <f t="shared" si="192"/>
        <v>0</v>
      </c>
      <c r="K406" s="8">
        <f t="shared" si="192"/>
        <v>0</v>
      </c>
      <c r="L406" s="8">
        <f t="shared" si="192"/>
        <v>0</v>
      </c>
      <c r="M406" s="8">
        <f t="shared" si="192"/>
        <v>0</v>
      </c>
      <c r="N406" s="8">
        <f t="shared" si="184"/>
        <v>0</v>
      </c>
      <c r="O406" s="8">
        <f t="shared" si="185"/>
        <v>0</v>
      </c>
      <c r="P406" s="8">
        <f t="shared" si="186"/>
        <v>0</v>
      </c>
      <c r="Q406" s="8">
        <f t="shared" si="187"/>
        <v>0</v>
      </c>
    </row>
    <row r="407" spans="1:17">
      <c r="B407" s="8" t="s">
        <v>219</v>
      </c>
      <c r="C407" s="8" t="s">
        <v>200</v>
      </c>
      <c r="D407" s="8">
        <f t="shared" ref="D407:M407" si="193">SUM(D392:D397)</f>
        <v>0</v>
      </c>
      <c r="E407" s="8">
        <f t="shared" si="193"/>
        <v>25.1084212585293</v>
      </c>
      <c r="F407" s="8">
        <f t="shared" si="193"/>
        <v>70.0912139612697</v>
      </c>
      <c r="G407" s="8">
        <f t="shared" si="193"/>
        <v>37.8745558705553</v>
      </c>
      <c r="H407" s="8">
        <f t="shared" si="193"/>
        <v>0</v>
      </c>
      <c r="I407" s="8">
        <f t="shared" si="193"/>
        <v>28.4092512157943</v>
      </c>
      <c r="J407" s="8">
        <f t="shared" si="193"/>
        <v>186.813871719475</v>
      </c>
      <c r="K407" s="8">
        <f t="shared" si="193"/>
        <v>50.5450259950852</v>
      </c>
      <c r="L407" s="8">
        <f t="shared" si="193"/>
        <v>52.1731818538091</v>
      </c>
      <c r="M407" s="8">
        <f t="shared" si="193"/>
        <v>68.3853239820894</v>
      </c>
      <c r="N407" s="8">
        <f t="shared" si="184"/>
        <v>26.6148382180709</v>
      </c>
      <c r="O407" s="8">
        <f t="shared" si="185"/>
        <v>77.2653309532505</v>
      </c>
      <c r="P407" s="8">
        <f t="shared" si="186"/>
        <v>4.78737177027133</v>
      </c>
      <c r="Q407" s="8">
        <f t="shared" si="187"/>
        <v>6.29030147599091</v>
      </c>
    </row>
    <row r="408" spans="1:17">
      <c r="B408" s="8" t="s">
        <v>219</v>
      </c>
      <c r="C408" s="8" t="s">
        <v>201</v>
      </c>
      <c r="D408" s="8">
        <f t="shared" ref="D408:M408" si="194">D398</f>
        <v>0</v>
      </c>
      <c r="E408" s="8">
        <f t="shared" si="194"/>
        <v>0</v>
      </c>
      <c r="F408" s="8">
        <f t="shared" si="194"/>
        <v>0</v>
      </c>
      <c r="G408" s="8">
        <f t="shared" si="194"/>
        <v>21.3032095796316</v>
      </c>
      <c r="H408" s="8">
        <f t="shared" si="194"/>
        <v>0</v>
      </c>
      <c r="I408" s="8">
        <f t="shared" si="194"/>
        <v>7.72885029996251</v>
      </c>
      <c r="J408" s="8">
        <f t="shared" si="194"/>
        <v>0</v>
      </c>
      <c r="K408" s="8">
        <f t="shared" si="194"/>
        <v>0</v>
      </c>
      <c r="L408" s="8">
        <f t="shared" si="194"/>
        <v>23.2368048908445</v>
      </c>
      <c r="M408" s="8">
        <f t="shared" si="194"/>
        <v>117.430397266912</v>
      </c>
      <c r="N408" s="8">
        <f t="shared" si="184"/>
        <v>4.26064191592632</v>
      </c>
      <c r="O408" s="8">
        <f t="shared" si="185"/>
        <v>29.6792104915438</v>
      </c>
      <c r="P408" s="8">
        <f t="shared" si="186"/>
        <v>2.39523885130836</v>
      </c>
      <c r="Q408" s="8">
        <f t="shared" si="187"/>
        <v>4.93918945143778</v>
      </c>
    </row>
    <row r="411" spans="1:17">
      <c r="A411" s="8" t="s">
        <v>220</v>
      </c>
      <c r="B411" s="8" t="s">
        <v>188</v>
      </c>
      <c r="C411" s="8" t="s">
        <v>189</v>
      </c>
      <c r="D411" s="8">
        <v>0</v>
      </c>
      <c r="E411" s="8">
        <v>8.73110997560256</v>
      </c>
      <c r="F411" s="8">
        <v>0</v>
      </c>
      <c r="G411" s="8">
        <v>18.031592602921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</row>
    <row r="412" spans="1:17">
      <c r="A412" s="8" t="s">
        <v>220</v>
      </c>
      <c r="B412" s="8" t="s">
        <v>190</v>
      </c>
      <c r="C412" s="8" t="s">
        <v>191</v>
      </c>
      <c r="D412" s="8">
        <v>0</v>
      </c>
      <c r="E412" s="8">
        <v>41.3668317656611</v>
      </c>
      <c r="F412" s="8">
        <v>0</v>
      </c>
      <c r="G412" s="8">
        <v>2.90651504303958</v>
      </c>
      <c r="H412" s="8">
        <v>0</v>
      </c>
      <c r="I412" s="8">
        <v>0</v>
      </c>
      <c r="J412" s="8">
        <v>0</v>
      </c>
      <c r="K412" s="8">
        <v>0</v>
      </c>
      <c r="L412" s="8">
        <v>1.52419987183621</v>
      </c>
      <c r="M412" s="8">
        <v>0</v>
      </c>
    </row>
    <row r="413" spans="1:17">
      <c r="A413" s="8" t="s">
        <v>220</v>
      </c>
      <c r="B413" s="8" t="s">
        <v>192</v>
      </c>
      <c r="C413" s="8" t="s">
        <v>193</v>
      </c>
      <c r="D413" s="8">
        <v>0</v>
      </c>
      <c r="E413" s="8">
        <v>1.45518690982301</v>
      </c>
      <c r="F413" s="8">
        <v>0</v>
      </c>
      <c r="G413" s="8">
        <v>34.1283096789082</v>
      </c>
      <c r="H413" s="8">
        <v>0</v>
      </c>
      <c r="I413" s="8">
        <v>0</v>
      </c>
      <c r="J413" s="8">
        <v>0</v>
      </c>
      <c r="K413" s="8">
        <v>0</v>
      </c>
      <c r="L413" s="8">
        <v>16.6952361526215</v>
      </c>
      <c r="M413" s="8">
        <v>0</v>
      </c>
    </row>
    <row r="414" spans="1:17">
      <c r="A414" s="8" t="s">
        <v>220</v>
      </c>
      <c r="B414" s="8" t="s">
        <v>192</v>
      </c>
      <c r="C414" s="8" t="s">
        <v>194</v>
      </c>
      <c r="D414" s="8">
        <v>0</v>
      </c>
      <c r="E414" s="8">
        <v>23.2828941975046</v>
      </c>
      <c r="F414" s="8">
        <v>0</v>
      </c>
      <c r="G414" s="8">
        <v>2.66591989864092</v>
      </c>
      <c r="H414" s="8">
        <v>0</v>
      </c>
      <c r="I414" s="8">
        <v>0</v>
      </c>
      <c r="J414" s="8">
        <v>0</v>
      </c>
      <c r="K414" s="8">
        <v>0</v>
      </c>
      <c r="L414" s="8">
        <v>9.16964005405332</v>
      </c>
      <c r="M414" s="8">
        <v>0</v>
      </c>
    </row>
    <row r="415" spans="1:17">
      <c r="A415" s="8" t="s">
        <v>220</v>
      </c>
      <c r="B415" s="8" t="s">
        <v>195</v>
      </c>
      <c r="C415" s="8" t="s">
        <v>196</v>
      </c>
      <c r="D415" s="8">
        <v>0</v>
      </c>
      <c r="E415" s="8">
        <v>0</v>
      </c>
      <c r="F415" s="8">
        <v>0</v>
      </c>
      <c r="G415" s="8">
        <v>4.11601556086933</v>
      </c>
      <c r="H415" s="8">
        <v>0</v>
      </c>
      <c r="I415" s="8">
        <v>0</v>
      </c>
      <c r="J415" s="8">
        <v>0</v>
      </c>
      <c r="K415" s="8">
        <v>0</v>
      </c>
      <c r="L415" s="8">
        <v>1.12856219668267</v>
      </c>
      <c r="M415" s="8">
        <v>0</v>
      </c>
    </row>
    <row r="416" spans="1:17">
      <c r="A416" s="8" t="s">
        <v>220</v>
      </c>
      <c r="B416" s="8" t="s">
        <v>195</v>
      </c>
      <c r="C416" s="8" t="s">
        <v>197</v>
      </c>
      <c r="D416" s="8">
        <v>0</v>
      </c>
      <c r="E416" s="8">
        <v>0</v>
      </c>
      <c r="F416" s="8">
        <v>0</v>
      </c>
      <c r="G416" s="8">
        <v>3.90165504916683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0.85454009395943</v>
      </c>
    </row>
    <row r="417" spans="1:17">
      <c r="A417" s="8" t="s">
        <v>220</v>
      </c>
      <c r="B417" s="8" t="s">
        <v>198</v>
      </c>
      <c r="C417" s="8" t="s">
        <v>199</v>
      </c>
      <c r="D417" s="8">
        <v>13.7638152064786</v>
      </c>
      <c r="E417" s="8">
        <v>23.8730037533277</v>
      </c>
      <c r="F417" s="8">
        <v>0</v>
      </c>
      <c r="G417" s="8">
        <v>24.2594373740392</v>
      </c>
      <c r="H417" s="8">
        <v>11.4193930818211</v>
      </c>
      <c r="I417" s="8">
        <v>0</v>
      </c>
      <c r="J417" s="8">
        <v>0</v>
      </c>
      <c r="K417" s="8">
        <v>0</v>
      </c>
      <c r="L417" s="8">
        <v>20.1589301715682</v>
      </c>
      <c r="M417" s="8">
        <v>3.96281373020538</v>
      </c>
    </row>
    <row r="418" spans="1:17">
      <c r="A418" s="8" t="s">
        <v>220</v>
      </c>
      <c r="B418" s="8" t="s">
        <v>36</v>
      </c>
      <c r="C418" s="8" t="s">
        <v>130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</row>
    <row r="419" spans="1:17">
      <c r="A419" s="8" t="s">
        <v>220</v>
      </c>
      <c r="B419" s="8" t="s">
        <v>200</v>
      </c>
      <c r="C419" s="8" t="s">
        <v>97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</row>
    <row r="420" spans="1:17">
      <c r="A420" s="8" t="s">
        <v>220</v>
      </c>
      <c r="B420" s="8" t="s">
        <v>200</v>
      </c>
      <c r="C420" s="8" t="s">
        <v>98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</row>
    <row r="421" spans="1:17">
      <c r="A421" s="8" t="s">
        <v>220</v>
      </c>
      <c r="B421" s="8" t="s">
        <v>200</v>
      </c>
      <c r="C421" s="8" t="s">
        <v>95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</row>
    <row r="422" spans="1:17">
      <c r="A422" s="8" t="s">
        <v>220</v>
      </c>
      <c r="B422" s="8" t="s">
        <v>200</v>
      </c>
      <c r="C422" s="8" t="s">
        <v>93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</row>
    <row r="423" spans="1:17">
      <c r="A423" s="8" t="s">
        <v>220</v>
      </c>
      <c r="B423" s="8" t="s">
        <v>200</v>
      </c>
      <c r="C423" s="8" t="s">
        <v>96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</row>
    <row r="424" spans="1:17">
      <c r="A424" s="8" t="s">
        <v>220</v>
      </c>
      <c r="B424" s="8" t="s">
        <v>200</v>
      </c>
      <c r="C424" s="8" t="s">
        <v>94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</row>
    <row r="425" spans="1:17">
      <c r="A425" s="8" t="s">
        <v>220</v>
      </c>
      <c r="B425" s="8" t="s">
        <v>201</v>
      </c>
      <c r="C425" s="8" t="s">
        <v>202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</row>
    <row r="427" spans="1:17">
      <c r="N427" s="11" t="s">
        <v>203</v>
      </c>
      <c r="O427" s="11" t="s">
        <v>203</v>
      </c>
      <c r="P427" s="11" t="s">
        <v>204</v>
      </c>
      <c r="Q427" s="11" t="s">
        <v>204</v>
      </c>
    </row>
    <row r="428" spans="1:17">
      <c r="B428" s="8" t="s">
        <v>220</v>
      </c>
      <c r="C428" s="8" t="s">
        <v>188</v>
      </c>
      <c r="D428" s="8">
        <f t="shared" ref="D428:M428" si="195">D411</f>
        <v>0</v>
      </c>
      <c r="E428" s="8">
        <f t="shared" si="195"/>
        <v>8.73110997560256</v>
      </c>
      <c r="F428" s="8">
        <f t="shared" si="195"/>
        <v>0</v>
      </c>
      <c r="G428" s="8">
        <f t="shared" si="195"/>
        <v>18.031592602921</v>
      </c>
      <c r="H428" s="8">
        <f t="shared" si="195"/>
        <v>0</v>
      </c>
      <c r="I428" s="8">
        <f t="shared" si="195"/>
        <v>0</v>
      </c>
      <c r="J428" s="8">
        <f t="shared" si="195"/>
        <v>0</v>
      </c>
      <c r="K428" s="8">
        <f t="shared" si="195"/>
        <v>0</v>
      </c>
      <c r="L428" s="8">
        <f t="shared" si="195"/>
        <v>0</v>
      </c>
      <c r="M428" s="8">
        <f t="shared" si="195"/>
        <v>0</v>
      </c>
      <c r="N428" s="8">
        <f t="shared" ref="N428:N435" si="196">AVERAGE(D428:H428)</f>
        <v>5.35254051570471</v>
      </c>
      <c r="O428" s="8">
        <f t="shared" ref="O428:O435" si="197">AVERAGE(I428:M428)</f>
        <v>0</v>
      </c>
      <c r="P428" s="8">
        <f t="shared" ref="P428:P435" si="198">LOG(N428+1,2)</f>
        <v>2.66733367163555</v>
      </c>
      <c r="Q428" s="8">
        <f t="shared" ref="Q428:Q435" si="199">LOG(O428+1,2)</f>
        <v>0</v>
      </c>
    </row>
    <row r="429" spans="1:17">
      <c r="B429" s="8" t="s">
        <v>220</v>
      </c>
      <c r="C429" s="8" t="s">
        <v>190</v>
      </c>
      <c r="D429" s="8">
        <f t="shared" ref="D429:M429" si="200">D412</f>
        <v>0</v>
      </c>
      <c r="E429" s="8">
        <f t="shared" si="200"/>
        <v>41.3668317656611</v>
      </c>
      <c r="F429" s="8">
        <f t="shared" si="200"/>
        <v>0</v>
      </c>
      <c r="G429" s="8">
        <f t="shared" si="200"/>
        <v>2.90651504303958</v>
      </c>
      <c r="H429" s="8">
        <f t="shared" si="200"/>
        <v>0</v>
      </c>
      <c r="I429" s="8">
        <f t="shared" si="200"/>
        <v>0</v>
      </c>
      <c r="J429" s="8">
        <f t="shared" si="200"/>
        <v>0</v>
      </c>
      <c r="K429" s="8">
        <f t="shared" si="200"/>
        <v>0</v>
      </c>
      <c r="L429" s="8">
        <f t="shared" si="200"/>
        <v>1.52419987183621</v>
      </c>
      <c r="M429" s="8">
        <f t="shared" si="200"/>
        <v>0</v>
      </c>
      <c r="N429" s="8">
        <f t="shared" si="196"/>
        <v>8.85466936174013</v>
      </c>
      <c r="O429" s="8">
        <f t="shared" si="197"/>
        <v>0.304839974367241</v>
      </c>
      <c r="P429" s="8">
        <f t="shared" si="198"/>
        <v>3.30080746759753</v>
      </c>
      <c r="Q429" s="8">
        <f t="shared" si="199"/>
        <v>0.383872885459481</v>
      </c>
    </row>
    <row r="430" spans="1:17">
      <c r="B430" s="8" t="s">
        <v>220</v>
      </c>
      <c r="C430" s="8" t="s">
        <v>192</v>
      </c>
      <c r="D430" s="8">
        <f t="shared" ref="D430:M430" si="201">D413+D414</f>
        <v>0</v>
      </c>
      <c r="E430" s="8">
        <f t="shared" si="201"/>
        <v>24.7380811073276</v>
      </c>
      <c r="F430" s="8">
        <f t="shared" si="201"/>
        <v>0</v>
      </c>
      <c r="G430" s="8">
        <f t="shared" si="201"/>
        <v>36.7942295775491</v>
      </c>
      <c r="H430" s="8">
        <f t="shared" si="201"/>
        <v>0</v>
      </c>
      <c r="I430" s="8">
        <f t="shared" si="201"/>
        <v>0</v>
      </c>
      <c r="J430" s="8">
        <f t="shared" si="201"/>
        <v>0</v>
      </c>
      <c r="K430" s="8">
        <f t="shared" si="201"/>
        <v>0</v>
      </c>
      <c r="L430" s="8">
        <f t="shared" si="201"/>
        <v>25.8648762066748</v>
      </c>
      <c r="M430" s="8">
        <f t="shared" si="201"/>
        <v>0</v>
      </c>
      <c r="N430" s="8">
        <f t="shared" si="196"/>
        <v>12.3064621369753</v>
      </c>
      <c r="O430" s="8">
        <f t="shared" si="197"/>
        <v>5.17297524133496</v>
      </c>
      <c r="P430" s="8">
        <f t="shared" si="198"/>
        <v>3.73405513977331</v>
      </c>
      <c r="Q430" s="8">
        <f t="shared" si="199"/>
        <v>2.62596600498882</v>
      </c>
    </row>
    <row r="431" spans="1:17">
      <c r="B431" s="8" t="s">
        <v>220</v>
      </c>
      <c r="C431" s="8" t="s">
        <v>195</v>
      </c>
      <c r="D431" s="8">
        <f t="shared" ref="D431:M431" si="202">SUM(D415:D416)</f>
        <v>0</v>
      </c>
      <c r="E431" s="8">
        <f t="shared" si="202"/>
        <v>0</v>
      </c>
      <c r="F431" s="8">
        <f t="shared" si="202"/>
        <v>0</v>
      </c>
      <c r="G431" s="8">
        <f t="shared" si="202"/>
        <v>8.01767061003616</v>
      </c>
      <c r="H431" s="8">
        <f t="shared" si="202"/>
        <v>0</v>
      </c>
      <c r="I431" s="8">
        <f t="shared" si="202"/>
        <v>0</v>
      </c>
      <c r="J431" s="8">
        <f t="shared" si="202"/>
        <v>0</v>
      </c>
      <c r="K431" s="8">
        <f t="shared" si="202"/>
        <v>0</v>
      </c>
      <c r="L431" s="8">
        <f t="shared" si="202"/>
        <v>1.12856219668267</v>
      </c>
      <c r="M431" s="8">
        <f t="shared" si="202"/>
        <v>0.85454009395943</v>
      </c>
      <c r="N431" s="8">
        <f t="shared" si="196"/>
        <v>1.60353412200723</v>
      </c>
      <c r="O431" s="8">
        <f t="shared" si="197"/>
        <v>0.396620458128421</v>
      </c>
      <c r="P431" s="8">
        <f t="shared" si="198"/>
        <v>1.38047131486261</v>
      </c>
      <c r="Q431" s="8">
        <f t="shared" si="199"/>
        <v>0.481940011032733</v>
      </c>
    </row>
    <row r="432" spans="1:17">
      <c r="B432" s="8" t="s">
        <v>220</v>
      </c>
      <c r="C432" s="8" t="s">
        <v>198</v>
      </c>
      <c r="D432" s="8">
        <f t="shared" ref="D432:M432" si="203">D417</f>
        <v>13.7638152064786</v>
      </c>
      <c r="E432" s="8">
        <f t="shared" si="203"/>
        <v>23.8730037533277</v>
      </c>
      <c r="F432" s="8">
        <f t="shared" si="203"/>
        <v>0</v>
      </c>
      <c r="G432" s="8">
        <f t="shared" si="203"/>
        <v>24.2594373740392</v>
      </c>
      <c r="H432" s="8">
        <f t="shared" si="203"/>
        <v>11.4193930818211</v>
      </c>
      <c r="I432" s="8">
        <f t="shared" si="203"/>
        <v>0</v>
      </c>
      <c r="J432" s="8">
        <f t="shared" si="203"/>
        <v>0</v>
      </c>
      <c r="K432" s="8">
        <f t="shared" si="203"/>
        <v>0</v>
      </c>
      <c r="L432" s="8">
        <f t="shared" si="203"/>
        <v>20.1589301715682</v>
      </c>
      <c r="M432" s="8">
        <f t="shared" si="203"/>
        <v>3.96281373020538</v>
      </c>
      <c r="N432" s="8">
        <f t="shared" si="196"/>
        <v>14.6631298831333</v>
      </c>
      <c r="O432" s="8">
        <f t="shared" si="197"/>
        <v>4.82434878035472</v>
      </c>
      <c r="P432" s="8">
        <f t="shared" si="198"/>
        <v>3.96930062269471</v>
      </c>
      <c r="Q432" s="8">
        <f t="shared" si="199"/>
        <v>2.54209675124775</v>
      </c>
    </row>
    <row r="433" spans="1:17">
      <c r="B433" s="8" t="s">
        <v>220</v>
      </c>
      <c r="C433" s="8" t="s">
        <v>36</v>
      </c>
      <c r="D433" s="8">
        <f t="shared" ref="D433:M433" si="204">D418</f>
        <v>0</v>
      </c>
      <c r="E433" s="8">
        <f t="shared" si="204"/>
        <v>0</v>
      </c>
      <c r="F433" s="8">
        <f t="shared" si="204"/>
        <v>0</v>
      </c>
      <c r="G433" s="8">
        <f t="shared" si="204"/>
        <v>0</v>
      </c>
      <c r="H433" s="8">
        <f t="shared" si="204"/>
        <v>0</v>
      </c>
      <c r="I433" s="8">
        <f t="shared" si="204"/>
        <v>0</v>
      </c>
      <c r="J433" s="8">
        <f t="shared" si="204"/>
        <v>0</v>
      </c>
      <c r="K433" s="8">
        <f t="shared" si="204"/>
        <v>0</v>
      </c>
      <c r="L433" s="8">
        <f t="shared" si="204"/>
        <v>0</v>
      </c>
      <c r="M433" s="8">
        <f t="shared" si="204"/>
        <v>0</v>
      </c>
      <c r="N433" s="8">
        <f t="shared" si="196"/>
        <v>0</v>
      </c>
      <c r="O433" s="8">
        <f t="shared" si="197"/>
        <v>0</v>
      </c>
      <c r="P433" s="8">
        <f t="shared" si="198"/>
        <v>0</v>
      </c>
      <c r="Q433" s="8">
        <f t="shared" si="199"/>
        <v>0</v>
      </c>
    </row>
    <row r="434" spans="1:17">
      <c r="B434" s="8" t="s">
        <v>220</v>
      </c>
      <c r="C434" s="8" t="s">
        <v>200</v>
      </c>
      <c r="D434" s="8">
        <f t="shared" ref="D434:M434" si="205">SUM(D419:D424)</f>
        <v>0</v>
      </c>
      <c r="E434" s="8">
        <f t="shared" si="205"/>
        <v>0</v>
      </c>
      <c r="F434" s="8">
        <f t="shared" si="205"/>
        <v>0</v>
      </c>
      <c r="G434" s="8">
        <f t="shared" si="205"/>
        <v>0</v>
      </c>
      <c r="H434" s="8">
        <f t="shared" si="205"/>
        <v>0</v>
      </c>
      <c r="I434" s="8">
        <f t="shared" si="205"/>
        <v>0</v>
      </c>
      <c r="J434" s="8">
        <f t="shared" si="205"/>
        <v>0</v>
      </c>
      <c r="K434" s="8">
        <f t="shared" si="205"/>
        <v>0</v>
      </c>
      <c r="L434" s="8">
        <f t="shared" si="205"/>
        <v>0</v>
      </c>
      <c r="M434" s="8">
        <f t="shared" si="205"/>
        <v>0</v>
      </c>
      <c r="N434" s="8">
        <f t="shared" si="196"/>
        <v>0</v>
      </c>
      <c r="O434" s="8">
        <f t="shared" si="197"/>
        <v>0</v>
      </c>
      <c r="P434" s="8">
        <f t="shared" si="198"/>
        <v>0</v>
      </c>
      <c r="Q434" s="8">
        <f t="shared" si="199"/>
        <v>0</v>
      </c>
    </row>
    <row r="435" spans="1:17">
      <c r="B435" s="8" t="s">
        <v>220</v>
      </c>
      <c r="C435" s="8" t="s">
        <v>201</v>
      </c>
      <c r="D435" s="8">
        <f t="shared" ref="D435:M435" si="206">D425</f>
        <v>0</v>
      </c>
      <c r="E435" s="8">
        <f t="shared" si="206"/>
        <v>0</v>
      </c>
      <c r="F435" s="8">
        <f t="shared" si="206"/>
        <v>0</v>
      </c>
      <c r="G435" s="8">
        <f t="shared" si="206"/>
        <v>0</v>
      </c>
      <c r="H435" s="8">
        <f t="shared" si="206"/>
        <v>0</v>
      </c>
      <c r="I435" s="8">
        <f t="shared" si="206"/>
        <v>0</v>
      </c>
      <c r="J435" s="8">
        <f t="shared" si="206"/>
        <v>0</v>
      </c>
      <c r="K435" s="8">
        <f t="shared" si="206"/>
        <v>0</v>
      </c>
      <c r="L435" s="8">
        <f t="shared" si="206"/>
        <v>0</v>
      </c>
      <c r="M435" s="8">
        <f t="shared" si="206"/>
        <v>0</v>
      </c>
      <c r="N435" s="8">
        <f t="shared" si="196"/>
        <v>0</v>
      </c>
      <c r="O435" s="8">
        <f t="shared" si="197"/>
        <v>0</v>
      </c>
      <c r="P435" s="8">
        <f t="shared" si="198"/>
        <v>0</v>
      </c>
      <c r="Q435" s="8">
        <f t="shared" si="199"/>
        <v>0</v>
      </c>
    </row>
    <row r="438" spans="1:17">
      <c r="A438" s="8" t="s">
        <v>221</v>
      </c>
      <c r="B438" s="8" t="s">
        <v>188</v>
      </c>
      <c r="C438" s="8" t="s">
        <v>189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</row>
    <row r="439" spans="1:17">
      <c r="A439" s="8" t="s">
        <v>221</v>
      </c>
      <c r="B439" s="8" t="s">
        <v>190</v>
      </c>
      <c r="C439" s="8" t="s">
        <v>191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</row>
    <row r="440" spans="1:17">
      <c r="A440" s="8" t="s">
        <v>221</v>
      </c>
      <c r="B440" s="8" t="s">
        <v>192</v>
      </c>
      <c r="C440" s="8" t="s">
        <v>193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</row>
    <row r="441" spans="1:17">
      <c r="A441" s="8" t="s">
        <v>221</v>
      </c>
      <c r="B441" s="8" t="s">
        <v>192</v>
      </c>
      <c r="C441" s="8" t="s">
        <v>194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</row>
    <row r="442" spans="1:17">
      <c r="A442" s="8" t="s">
        <v>221</v>
      </c>
      <c r="B442" s="8" t="s">
        <v>195</v>
      </c>
      <c r="C442" s="8" t="s">
        <v>196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</row>
    <row r="443" spans="1:17">
      <c r="A443" s="8" t="s">
        <v>221</v>
      </c>
      <c r="B443" s="8" t="s">
        <v>195</v>
      </c>
      <c r="C443" s="8" t="s">
        <v>197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</row>
    <row r="444" spans="1:17">
      <c r="A444" s="8" t="s">
        <v>221</v>
      </c>
      <c r="B444" s="8" t="s">
        <v>198</v>
      </c>
      <c r="C444" s="8" t="s">
        <v>199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</row>
    <row r="445" spans="1:17">
      <c r="A445" s="8" t="s">
        <v>221</v>
      </c>
      <c r="B445" s="8" t="s">
        <v>36</v>
      </c>
      <c r="C445" s="8" t="s">
        <v>130</v>
      </c>
      <c r="D445" s="8">
        <v>0</v>
      </c>
      <c r="E445" s="8">
        <v>6.78529894716507</v>
      </c>
      <c r="F445" s="8">
        <v>0</v>
      </c>
      <c r="G445" s="8">
        <v>0</v>
      </c>
      <c r="H445" s="8">
        <v>0</v>
      </c>
      <c r="I445" s="8">
        <v>0</v>
      </c>
      <c r="J445" s="8">
        <v>98.5611371099383</v>
      </c>
      <c r="K445" s="8">
        <v>0</v>
      </c>
      <c r="L445" s="8">
        <v>0</v>
      </c>
      <c r="M445" s="8">
        <v>0</v>
      </c>
    </row>
    <row r="446" spans="1:17">
      <c r="A446" s="8" t="s">
        <v>221</v>
      </c>
      <c r="B446" s="8" t="s">
        <v>200</v>
      </c>
      <c r="C446" s="8" t="s">
        <v>97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</row>
    <row r="447" spans="1:17">
      <c r="A447" s="8" t="s">
        <v>221</v>
      </c>
      <c r="B447" s="8" t="s">
        <v>200</v>
      </c>
      <c r="C447" s="8" t="s">
        <v>98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</row>
    <row r="448" spans="1:17">
      <c r="A448" s="8" t="s">
        <v>221</v>
      </c>
      <c r="B448" s="8" t="s">
        <v>200</v>
      </c>
      <c r="C448" s="8" t="s">
        <v>95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</row>
    <row r="449" spans="1:17">
      <c r="A449" s="8" t="s">
        <v>221</v>
      </c>
      <c r="B449" s="8" t="s">
        <v>200</v>
      </c>
      <c r="C449" s="8" t="s">
        <v>93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</row>
    <row r="450" spans="1:17">
      <c r="A450" s="8" t="s">
        <v>221</v>
      </c>
      <c r="B450" s="8" t="s">
        <v>200</v>
      </c>
      <c r="C450" s="8" t="s">
        <v>96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</row>
    <row r="451" spans="1:17">
      <c r="A451" s="8" t="s">
        <v>221</v>
      </c>
      <c r="B451" s="8" t="s">
        <v>200</v>
      </c>
      <c r="C451" s="8" t="s">
        <v>94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</row>
    <row r="452" spans="1:17">
      <c r="A452" s="8" t="s">
        <v>221</v>
      </c>
      <c r="B452" s="8" t="s">
        <v>201</v>
      </c>
      <c r="C452" s="8" t="s">
        <v>202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</row>
    <row r="454" spans="1:17">
      <c r="N454" s="11" t="s">
        <v>203</v>
      </c>
      <c r="O454" s="11" t="s">
        <v>203</v>
      </c>
      <c r="P454" s="11" t="s">
        <v>204</v>
      </c>
      <c r="Q454" s="11" t="s">
        <v>204</v>
      </c>
    </row>
    <row r="455" spans="1:17">
      <c r="B455" s="8" t="s">
        <v>221</v>
      </c>
      <c r="C455" s="8" t="s">
        <v>188</v>
      </c>
      <c r="D455" s="8">
        <f t="shared" ref="D455:M455" si="207">D438</f>
        <v>0</v>
      </c>
      <c r="E455" s="8">
        <f t="shared" si="207"/>
        <v>0</v>
      </c>
      <c r="F455" s="8">
        <f t="shared" si="207"/>
        <v>0</v>
      </c>
      <c r="G455" s="8">
        <f t="shared" si="207"/>
        <v>0</v>
      </c>
      <c r="H455" s="8">
        <f t="shared" si="207"/>
        <v>0</v>
      </c>
      <c r="I455" s="8">
        <f t="shared" si="207"/>
        <v>0</v>
      </c>
      <c r="J455" s="8">
        <f t="shared" si="207"/>
        <v>0</v>
      </c>
      <c r="K455" s="8">
        <f t="shared" si="207"/>
        <v>0</v>
      </c>
      <c r="L455" s="8">
        <f t="shared" si="207"/>
        <v>0</v>
      </c>
      <c r="M455" s="8">
        <f t="shared" si="207"/>
        <v>0</v>
      </c>
      <c r="N455" s="8">
        <f t="shared" ref="N455:N462" si="208">AVERAGE(D455:H455)</f>
        <v>0</v>
      </c>
      <c r="O455" s="8">
        <f t="shared" ref="O455:O462" si="209">AVERAGE(I455:M455)</f>
        <v>0</v>
      </c>
      <c r="P455" s="8">
        <f t="shared" ref="P455:P462" si="210">LOG(N455+1,2)</f>
        <v>0</v>
      </c>
      <c r="Q455" s="8">
        <f t="shared" ref="Q455:Q462" si="211">LOG(O455+1,2)</f>
        <v>0</v>
      </c>
    </row>
    <row r="456" spans="1:17">
      <c r="B456" s="8" t="s">
        <v>221</v>
      </c>
      <c r="C456" s="8" t="s">
        <v>190</v>
      </c>
      <c r="D456" s="8">
        <f t="shared" ref="D456:M456" si="212">D439</f>
        <v>0</v>
      </c>
      <c r="E456" s="8">
        <f t="shared" si="212"/>
        <v>0</v>
      </c>
      <c r="F456" s="8">
        <f t="shared" si="212"/>
        <v>0</v>
      </c>
      <c r="G456" s="8">
        <f t="shared" si="212"/>
        <v>0</v>
      </c>
      <c r="H456" s="8">
        <f t="shared" si="212"/>
        <v>0</v>
      </c>
      <c r="I456" s="8">
        <f t="shared" si="212"/>
        <v>0</v>
      </c>
      <c r="J456" s="8">
        <f t="shared" si="212"/>
        <v>0</v>
      </c>
      <c r="K456" s="8">
        <f t="shared" si="212"/>
        <v>0</v>
      </c>
      <c r="L456" s="8">
        <f t="shared" si="212"/>
        <v>0</v>
      </c>
      <c r="M456" s="8">
        <f t="shared" si="212"/>
        <v>0</v>
      </c>
      <c r="N456" s="8">
        <f t="shared" si="208"/>
        <v>0</v>
      </c>
      <c r="O456" s="8">
        <f t="shared" si="209"/>
        <v>0</v>
      </c>
      <c r="P456" s="8">
        <f t="shared" si="210"/>
        <v>0</v>
      </c>
      <c r="Q456" s="8">
        <f t="shared" si="211"/>
        <v>0</v>
      </c>
    </row>
    <row r="457" spans="1:17">
      <c r="B457" s="8" t="s">
        <v>221</v>
      </c>
      <c r="C457" s="8" t="s">
        <v>192</v>
      </c>
      <c r="D457" s="8">
        <f t="shared" ref="D457:M457" si="213">D440+D441</f>
        <v>0</v>
      </c>
      <c r="E457" s="8">
        <f t="shared" si="213"/>
        <v>0</v>
      </c>
      <c r="F457" s="8">
        <f t="shared" si="213"/>
        <v>0</v>
      </c>
      <c r="G457" s="8">
        <f t="shared" si="213"/>
        <v>0</v>
      </c>
      <c r="H457" s="8">
        <f t="shared" si="213"/>
        <v>0</v>
      </c>
      <c r="I457" s="8">
        <f t="shared" si="213"/>
        <v>0</v>
      </c>
      <c r="J457" s="8">
        <f t="shared" si="213"/>
        <v>0</v>
      </c>
      <c r="K457" s="8">
        <f t="shared" si="213"/>
        <v>0</v>
      </c>
      <c r="L457" s="8">
        <f t="shared" si="213"/>
        <v>0</v>
      </c>
      <c r="M457" s="8">
        <f t="shared" si="213"/>
        <v>0</v>
      </c>
      <c r="N457" s="8">
        <f t="shared" si="208"/>
        <v>0</v>
      </c>
      <c r="O457" s="8">
        <f t="shared" si="209"/>
        <v>0</v>
      </c>
      <c r="P457" s="8">
        <f t="shared" si="210"/>
        <v>0</v>
      </c>
      <c r="Q457" s="8">
        <f t="shared" si="211"/>
        <v>0</v>
      </c>
    </row>
    <row r="458" spans="1:17">
      <c r="B458" s="8" t="s">
        <v>221</v>
      </c>
      <c r="C458" s="8" t="s">
        <v>195</v>
      </c>
      <c r="D458" s="8">
        <f t="shared" ref="D458:M458" si="214">SUM(D442:D443)</f>
        <v>0</v>
      </c>
      <c r="E458" s="8">
        <f t="shared" si="214"/>
        <v>0</v>
      </c>
      <c r="F458" s="8">
        <f t="shared" si="214"/>
        <v>0</v>
      </c>
      <c r="G458" s="8">
        <f t="shared" si="214"/>
        <v>0</v>
      </c>
      <c r="H458" s="8">
        <f t="shared" si="214"/>
        <v>0</v>
      </c>
      <c r="I458" s="8">
        <f t="shared" si="214"/>
        <v>0</v>
      </c>
      <c r="J458" s="8">
        <f t="shared" si="214"/>
        <v>0</v>
      </c>
      <c r="K458" s="8">
        <f t="shared" si="214"/>
        <v>0</v>
      </c>
      <c r="L458" s="8">
        <f t="shared" si="214"/>
        <v>0</v>
      </c>
      <c r="M458" s="8">
        <f t="shared" si="214"/>
        <v>0</v>
      </c>
      <c r="N458" s="8">
        <f t="shared" si="208"/>
        <v>0</v>
      </c>
      <c r="O458" s="8">
        <f t="shared" si="209"/>
        <v>0</v>
      </c>
      <c r="P458" s="8">
        <f t="shared" si="210"/>
        <v>0</v>
      </c>
      <c r="Q458" s="8">
        <f t="shared" si="211"/>
        <v>0</v>
      </c>
    </row>
    <row r="459" spans="1:17">
      <c r="B459" s="8" t="s">
        <v>221</v>
      </c>
      <c r="C459" s="8" t="s">
        <v>198</v>
      </c>
      <c r="D459" s="8">
        <f t="shared" ref="D459:M459" si="215">D444</f>
        <v>0</v>
      </c>
      <c r="E459" s="8">
        <f t="shared" si="215"/>
        <v>0</v>
      </c>
      <c r="F459" s="8">
        <f t="shared" si="215"/>
        <v>0</v>
      </c>
      <c r="G459" s="8">
        <f t="shared" si="215"/>
        <v>0</v>
      </c>
      <c r="H459" s="8">
        <f t="shared" si="215"/>
        <v>0</v>
      </c>
      <c r="I459" s="8">
        <f t="shared" si="215"/>
        <v>0</v>
      </c>
      <c r="J459" s="8">
        <f t="shared" si="215"/>
        <v>0</v>
      </c>
      <c r="K459" s="8">
        <f t="shared" si="215"/>
        <v>0</v>
      </c>
      <c r="L459" s="8">
        <f t="shared" si="215"/>
        <v>0</v>
      </c>
      <c r="M459" s="8">
        <f t="shared" si="215"/>
        <v>0</v>
      </c>
      <c r="N459" s="8">
        <f t="shared" si="208"/>
        <v>0</v>
      </c>
      <c r="O459" s="8">
        <f t="shared" si="209"/>
        <v>0</v>
      </c>
      <c r="P459" s="8">
        <f t="shared" si="210"/>
        <v>0</v>
      </c>
      <c r="Q459" s="8">
        <f t="shared" si="211"/>
        <v>0</v>
      </c>
    </row>
    <row r="460" spans="1:17">
      <c r="B460" s="8" t="s">
        <v>221</v>
      </c>
      <c r="C460" s="8" t="s">
        <v>36</v>
      </c>
      <c r="D460" s="8">
        <f t="shared" ref="D460:M460" si="216">D445</f>
        <v>0</v>
      </c>
      <c r="E460" s="8">
        <f t="shared" si="216"/>
        <v>6.78529894716507</v>
      </c>
      <c r="F460" s="8">
        <f t="shared" si="216"/>
        <v>0</v>
      </c>
      <c r="G460" s="8">
        <f t="shared" si="216"/>
        <v>0</v>
      </c>
      <c r="H460" s="8">
        <f t="shared" si="216"/>
        <v>0</v>
      </c>
      <c r="I460" s="8">
        <f t="shared" si="216"/>
        <v>0</v>
      </c>
      <c r="J460" s="8">
        <f t="shared" si="216"/>
        <v>98.5611371099383</v>
      </c>
      <c r="K460" s="8">
        <f t="shared" si="216"/>
        <v>0</v>
      </c>
      <c r="L460" s="8">
        <f t="shared" si="216"/>
        <v>0</v>
      </c>
      <c r="M460" s="8">
        <f t="shared" si="216"/>
        <v>0</v>
      </c>
      <c r="N460" s="8">
        <f t="shared" si="208"/>
        <v>1.35705978943301</v>
      </c>
      <c r="O460" s="8">
        <f t="shared" si="209"/>
        <v>19.7122274219877</v>
      </c>
      <c r="P460" s="8">
        <f t="shared" si="210"/>
        <v>1.23698835461035</v>
      </c>
      <c r="Q460" s="8">
        <f t="shared" si="211"/>
        <v>4.37241080623708</v>
      </c>
    </row>
    <row r="461" spans="1:17">
      <c r="B461" s="8" t="s">
        <v>221</v>
      </c>
      <c r="C461" s="8" t="s">
        <v>200</v>
      </c>
      <c r="D461" s="8">
        <f t="shared" ref="D461:M461" si="217">SUM(D446:D451)</f>
        <v>0</v>
      </c>
      <c r="E461" s="8">
        <f t="shared" si="217"/>
        <v>0</v>
      </c>
      <c r="F461" s="8">
        <f t="shared" si="217"/>
        <v>0</v>
      </c>
      <c r="G461" s="8">
        <f t="shared" si="217"/>
        <v>0</v>
      </c>
      <c r="H461" s="8">
        <f t="shared" si="217"/>
        <v>0</v>
      </c>
      <c r="I461" s="8">
        <f t="shared" si="217"/>
        <v>0</v>
      </c>
      <c r="J461" s="8">
        <f t="shared" si="217"/>
        <v>0</v>
      </c>
      <c r="K461" s="8">
        <f t="shared" si="217"/>
        <v>0</v>
      </c>
      <c r="L461" s="8">
        <f t="shared" si="217"/>
        <v>0</v>
      </c>
      <c r="M461" s="8">
        <f t="shared" si="217"/>
        <v>0</v>
      </c>
      <c r="N461" s="8">
        <f t="shared" si="208"/>
        <v>0</v>
      </c>
      <c r="O461" s="8">
        <f t="shared" si="209"/>
        <v>0</v>
      </c>
      <c r="P461" s="8">
        <f t="shared" si="210"/>
        <v>0</v>
      </c>
      <c r="Q461" s="8">
        <f t="shared" si="211"/>
        <v>0</v>
      </c>
    </row>
    <row r="462" spans="1:17">
      <c r="B462" s="8" t="s">
        <v>221</v>
      </c>
      <c r="C462" s="8" t="s">
        <v>201</v>
      </c>
      <c r="D462" s="8">
        <f t="shared" ref="D462:M462" si="218">D452</f>
        <v>0</v>
      </c>
      <c r="E462" s="8">
        <f t="shared" si="218"/>
        <v>0</v>
      </c>
      <c r="F462" s="8">
        <f t="shared" si="218"/>
        <v>0</v>
      </c>
      <c r="G462" s="8">
        <f t="shared" si="218"/>
        <v>0</v>
      </c>
      <c r="H462" s="8">
        <f t="shared" si="218"/>
        <v>0</v>
      </c>
      <c r="I462" s="8">
        <f t="shared" si="218"/>
        <v>0</v>
      </c>
      <c r="J462" s="8">
        <f t="shared" si="218"/>
        <v>0</v>
      </c>
      <c r="K462" s="8">
        <f t="shared" si="218"/>
        <v>0</v>
      </c>
      <c r="L462" s="8">
        <f t="shared" si="218"/>
        <v>0</v>
      </c>
      <c r="M462" s="8">
        <f t="shared" si="218"/>
        <v>0</v>
      </c>
      <c r="N462" s="8">
        <f t="shared" si="208"/>
        <v>0</v>
      </c>
      <c r="O462" s="8">
        <f t="shared" si="209"/>
        <v>0</v>
      </c>
      <c r="P462" s="8">
        <f t="shared" si="210"/>
        <v>0</v>
      </c>
      <c r="Q462" s="8">
        <f t="shared" si="211"/>
        <v>0</v>
      </c>
    </row>
    <row r="465" spans="1:13">
      <c r="A465" s="8" t="s">
        <v>222</v>
      </c>
      <c r="B465" s="8" t="s">
        <v>188</v>
      </c>
      <c r="C465" s="8" t="s">
        <v>189</v>
      </c>
      <c r="D465" s="8">
        <v>1.213346875511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1.62509085635534</v>
      </c>
      <c r="K465" s="8">
        <v>0</v>
      </c>
      <c r="L465" s="8">
        <v>0</v>
      </c>
      <c r="M465" s="8">
        <v>0</v>
      </c>
    </row>
    <row r="466" spans="1:13">
      <c r="A466" s="8" t="s">
        <v>222</v>
      </c>
      <c r="B466" s="8" t="s">
        <v>190</v>
      </c>
      <c r="C466" s="8" t="s">
        <v>191</v>
      </c>
      <c r="D466" s="8">
        <v>0</v>
      </c>
      <c r="E466" s="8">
        <v>0</v>
      </c>
      <c r="F466" s="8">
        <v>0</v>
      </c>
      <c r="G466" s="8">
        <v>0.258308907363026</v>
      </c>
      <c r="H466" s="8">
        <v>0</v>
      </c>
      <c r="I466" s="8">
        <v>3.34916642696619</v>
      </c>
      <c r="J466" s="8">
        <v>0</v>
      </c>
      <c r="K466" s="8">
        <v>0</v>
      </c>
      <c r="L466" s="8">
        <v>0</v>
      </c>
      <c r="M466" s="8">
        <v>0</v>
      </c>
    </row>
    <row r="467" spans="1:13">
      <c r="A467" s="8" t="s">
        <v>222</v>
      </c>
      <c r="B467" s="8" t="s">
        <v>192</v>
      </c>
      <c r="C467" s="8" t="s">
        <v>193</v>
      </c>
      <c r="D467" s="8">
        <v>0</v>
      </c>
      <c r="E467" s="8">
        <v>4.26050901572705</v>
      </c>
      <c r="F467" s="8">
        <v>4.4710850204342</v>
      </c>
      <c r="G467" s="8">
        <v>3.24428228453488</v>
      </c>
      <c r="H467" s="8">
        <v>0</v>
      </c>
      <c r="I467" s="8">
        <v>0</v>
      </c>
      <c r="J467" s="8">
        <v>0.803594985949773</v>
      </c>
      <c r="K467" s="8">
        <v>0</v>
      </c>
      <c r="L467" s="8">
        <v>1.26014140511851</v>
      </c>
      <c r="M467" s="8">
        <v>0</v>
      </c>
    </row>
    <row r="468" spans="1:13">
      <c r="A468" s="8" t="s">
        <v>222</v>
      </c>
      <c r="B468" s="8" t="s">
        <v>192</v>
      </c>
      <c r="C468" s="8" t="s">
        <v>194</v>
      </c>
      <c r="D468" s="8">
        <v>0</v>
      </c>
      <c r="E468" s="8">
        <v>1.39223897909395</v>
      </c>
      <c r="F468" s="8">
        <v>3.77499920952505</v>
      </c>
      <c r="G468" s="8">
        <v>0</v>
      </c>
      <c r="H468" s="8">
        <v>1.81560434212723</v>
      </c>
      <c r="I468" s="8">
        <v>0</v>
      </c>
      <c r="J468" s="8">
        <v>0</v>
      </c>
      <c r="K468" s="8">
        <v>0</v>
      </c>
      <c r="L468" s="8">
        <v>4.79272690294976</v>
      </c>
      <c r="M468" s="8">
        <v>0</v>
      </c>
    </row>
    <row r="469" spans="1:13">
      <c r="A469" s="8" t="s">
        <v>222</v>
      </c>
      <c r="B469" s="8" t="s">
        <v>195</v>
      </c>
      <c r="C469" s="8" t="s">
        <v>196</v>
      </c>
      <c r="D469" s="8">
        <v>0</v>
      </c>
      <c r="E469" s="8">
        <v>0</v>
      </c>
      <c r="F469" s="8">
        <v>0</v>
      </c>
      <c r="G469" s="8">
        <v>2.83385828157168</v>
      </c>
      <c r="H469" s="8">
        <v>0</v>
      </c>
      <c r="I469" s="8">
        <v>0</v>
      </c>
      <c r="J469" s="8">
        <v>0</v>
      </c>
      <c r="K469" s="8">
        <v>0</v>
      </c>
      <c r="L469" s="8">
        <v>1.98518845382111</v>
      </c>
      <c r="M469" s="8">
        <v>0</v>
      </c>
    </row>
    <row r="470" spans="1:13">
      <c r="A470" s="8" t="s">
        <v>222</v>
      </c>
      <c r="B470" s="8" t="s">
        <v>195</v>
      </c>
      <c r="C470" s="8" t="s">
        <v>197</v>
      </c>
      <c r="D470" s="8">
        <v>0</v>
      </c>
      <c r="E470" s="8">
        <v>0</v>
      </c>
      <c r="F470" s="8">
        <v>0</v>
      </c>
      <c r="G470" s="8">
        <v>7.90658093930566</v>
      </c>
      <c r="H470" s="8">
        <v>0</v>
      </c>
      <c r="I470" s="8">
        <v>0</v>
      </c>
      <c r="J470" s="8">
        <v>0</v>
      </c>
      <c r="K470" s="8">
        <v>0</v>
      </c>
      <c r="L470" s="8">
        <v>0.706135483755865</v>
      </c>
      <c r="M470" s="8">
        <v>0</v>
      </c>
    </row>
    <row r="471" spans="1:13">
      <c r="A471" s="8" t="s">
        <v>222</v>
      </c>
      <c r="B471" s="8" t="s">
        <v>198</v>
      </c>
      <c r="C471" s="8" t="s">
        <v>199</v>
      </c>
      <c r="D471" s="8">
        <v>0</v>
      </c>
      <c r="E471" s="8">
        <v>2.3194896735143</v>
      </c>
      <c r="F471" s="8">
        <v>1.96629144698077</v>
      </c>
      <c r="G471" s="8">
        <v>3.04408747989383</v>
      </c>
      <c r="H471" s="8">
        <v>0</v>
      </c>
      <c r="I471" s="8">
        <v>0</v>
      </c>
      <c r="J471" s="8">
        <v>0</v>
      </c>
      <c r="K471" s="8">
        <v>0</v>
      </c>
      <c r="L471" s="8">
        <v>0.47405464994476</v>
      </c>
      <c r="M471" s="8">
        <v>0</v>
      </c>
    </row>
    <row r="472" spans="1:13">
      <c r="A472" s="8" t="s">
        <v>222</v>
      </c>
      <c r="B472" s="8" t="s">
        <v>36</v>
      </c>
      <c r="C472" s="8" t="s">
        <v>130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</row>
    <row r="473" spans="1:13">
      <c r="A473" s="8" t="s">
        <v>222</v>
      </c>
      <c r="B473" s="8" t="s">
        <v>200</v>
      </c>
      <c r="C473" s="8" t="s">
        <v>97</v>
      </c>
      <c r="D473" s="8">
        <v>0</v>
      </c>
      <c r="E473" s="8">
        <v>1.47266930274003</v>
      </c>
      <c r="F473" s="8">
        <v>1.8128429377934</v>
      </c>
      <c r="G473" s="8">
        <v>6.30581167990572</v>
      </c>
      <c r="H473" s="8">
        <v>3.23179985771876</v>
      </c>
      <c r="I473" s="8">
        <v>0</v>
      </c>
      <c r="J473" s="8">
        <v>0</v>
      </c>
      <c r="K473" s="8">
        <v>0.927419115590327</v>
      </c>
      <c r="L473" s="8">
        <v>12.3373659321586</v>
      </c>
      <c r="M473" s="8">
        <v>19.7284797060198</v>
      </c>
    </row>
    <row r="474" spans="1:13">
      <c r="A474" s="8" t="s">
        <v>222</v>
      </c>
      <c r="B474" s="8" t="s">
        <v>200</v>
      </c>
      <c r="C474" s="8" t="s">
        <v>98</v>
      </c>
      <c r="D474" s="8">
        <v>0</v>
      </c>
      <c r="E474" s="8">
        <v>0.418231252161127</v>
      </c>
      <c r="F474" s="8">
        <v>0</v>
      </c>
      <c r="G474" s="8">
        <v>0</v>
      </c>
      <c r="H474" s="8">
        <v>0</v>
      </c>
      <c r="I474" s="8">
        <v>0</v>
      </c>
      <c r="J474" s="8">
        <v>11.4203123288338</v>
      </c>
      <c r="K474" s="8">
        <v>0</v>
      </c>
      <c r="L474" s="8">
        <v>14.1560922868729</v>
      </c>
      <c r="M474" s="8">
        <v>0</v>
      </c>
    </row>
    <row r="475" spans="1:13">
      <c r="A475" s="8" t="s">
        <v>222</v>
      </c>
      <c r="B475" s="8" t="s">
        <v>200</v>
      </c>
      <c r="C475" s="8" t="s">
        <v>95</v>
      </c>
      <c r="D475" s="8">
        <v>0</v>
      </c>
      <c r="E475" s="8">
        <v>12.3843307773678</v>
      </c>
      <c r="F475" s="8">
        <v>2.69721686714999</v>
      </c>
      <c r="G475" s="8">
        <v>1.38673418458714</v>
      </c>
      <c r="H475" s="8">
        <v>0</v>
      </c>
      <c r="I475" s="8">
        <v>0</v>
      </c>
      <c r="J475" s="8">
        <v>0</v>
      </c>
      <c r="K475" s="8">
        <v>15.3802879001683</v>
      </c>
      <c r="L475" s="8">
        <v>4.19181563685352</v>
      </c>
      <c r="M475" s="8">
        <v>0</v>
      </c>
    </row>
    <row r="476" spans="1:13">
      <c r="A476" s="8" t="s">
        <v>222</v>
      </c>
      <c r="B476" s="8" t="s">
        <v>200</v>
      </c>
      <c r="C476" s="8" t="s">
        <v>93</v>
      </c>
      <c r="D476" s="8">
        <v>0</v>
      </c>
      <c r="E476" s="8">
        <v>2.7859302624807</v>
      </c>
      <c r="F476" s="8">
        <v>0</v>
      </c>
      <c r="G476" s="8">
        <v>6.37419915520427</v>
      </c>
      <c r="H476" s="8">
        <v>3.12351955255531</v>
      </c>
      <c r="I476" s="8">
        <v>0</v>
      </c>
      <c r="J476" s="8">
        <v>0</v>
      </c>
      <c r="K476" s="8">
        <v>2.82215972472127</v>
      </c>
      <c r="L476" s="8">
        <v>3.47449934359534</v>
      </c>
      <c r="M476" s="8">
        <v>3.99355594499664</v>
      </c>
    </row>
    <row r="477" spans="1:13">
      <c r="A477" s="8" t="s">
        <v>222</v>
      </c>
      <c r="B477" s="8" t="s">
        <v>200</v>
      </c>
      <c r="C477" s="8" t="s">
        <v>96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</row>
    <row r="478" spans="1:13">
      <c r="A478" s="8" t="s">
        <v>222</v>
      </c>
      <c r="B478" s="8" t="s">
        <v>200</v>
      </c>
      <c r="C478" s="8" t="s">
        <v>94</v>
      </c>
      <c r="D478" s="8">
        <v>0</v>
      </c>
      <c r="E478" s="8">
        <v>0</v>
      </c>
      <c r="F478" s="8">
        <v>0.742738988931216</v>
      </c>
      <c r="G478" s="8">
        <v>6.0145</v>
      </c>
      <c r="H478" s="8">
        <v>0</v>
      </c>
      <c r="I478" s="8">
        <v>1.41410064069813</v>
      </c>
      <c r="J478" s="8">
        <v>0</v>
      </c>
      <c r="K478" s="8">
        <v>0.586192701016107</v>
      </c>
      <c r="L478" s="8">
        <v>8.97306350086113</v>
      </c>
      <c r="M478" s="8">
        <v>0</v>
      </c>
    </row>
    <row r="479" spans="1:13">
      <c r="A479" s="8" t="s">
        <v>222</v>
      </c>
      <c r="B479" s="8" t="s">
        <v>201</v>
      </c>
      <c r="C479" s="8" t="s">
        <v>202</v>
      </c>
      <c r="D479" s="8">
        <v>0</v>
      </c>
      <c r="E479" s="8">
        <v>0.693097694793086</v>
      </c>
      <c r="F479" s="8">
        <v>0.674262912879628</v>
      </c>
      <c r="G479" s="8">
        <v>18.835072125733</v>
      </c>
      <c r="H479" s="8">
        <v>0</v>
      </c>
      <c r="I479" s="8">
        <v>15.8042237219521</v>
      </c>
      <c r="J479" s="8">
        <v>50.8090073153932</v>
      </c>
      <c r="K479" s="8">
        <v>2.36225468164794</v>
      </c>
      <c r="L479" s="8">
        <v>28.6132086314396</v>
      </c>
      <c r="M479" s="8">
        <v>90.3411701105915</v>
      </c>
    </row>
    <row r="481" spans="1:17">
      <c r="N481" s="11" t="s">
        <v>203</v>
      </c>
      <c r="O481" s="11" t="s">
        <v>203</v>
      </c>
      <c r="P481" s="11" t="s">
        <v>204</v>
      </c>
      <c r="Q481" s="11" t="s">
        <v>204</v>
      </c>
    </row>
    <row r="482" spans="1:17">
      <c r="B482" s="8" t="s">
        <v>222</v>
      </c>
      <c r="C482" s="8" t="s">
        <v>188</v>
      </c>
      <c r="D482" s="8">
        <f t="shared" ref="D482:M482" si="219">D465</f>
        <v>1.213346875511</v>
      </c>
      <c r="E482" s="8">
        <f t="shared" si="219"/>
        <v>0</v>
      </c>
      <c r="F482" s="8">
        <f t="shared" si="219"/>
        <v>0</v>
      </c>
      <c r="G482" s="8">
        <f t="shared" si="219"/>
        <v>0</v>
      </c>
      <c r="H482" s="8">
        <f t="shared" si="219"/>
        <v>0</v>
      </c>
      <c r="I482" s="8">
        <f t="shared" si="219"/>
        <v>0</v>
      </c>
      <c r="J482" s="8">
        <f t="shared" si="219"/>
        <v>1.62509085635534</v>
      </c>
      <c r="K482" s="8">
        <f t="shared" si="219"/>
        <v>0</v>
      </c>
      <c r="L482" s="8">
        <f t="shared" si="219"/>
        <v>0</v>
      </c>
      <c r="M482" s="8">
        <f t="shared" si="219"/>
        <v>0</v>
      </c>
      <c r="N482" s="8">
        <f t="shared" ref="N482:N489" si="220">AVERAGE(D482:H482)</f>
        <v>0.2426693751022</v>
      </c>
      <c r="O482" s="8">
        <f t="shared" ref="O482:O489" si="221">AVERAGE(I482:M482)</f>
        <v>0.325018171271068</v>
      </c>
      <c r="P482" s="8">
        <f t="shared" ref="P482:P489" si="222">LOG(N482+1,2)</f>
        <v>0.313442503671993</v>
      </c>
      <c r="Q482" s="8">
        <f t="shared" ref="Q482:Q489" si="223">LOG(O482+1,2)</f>
        <v>0.406012144900664</v>
      </c>
    </row>
    <row r="483" spans="1:17">
      <c r="B483" s="8" t="s">
        <v>222</v>
      </c>
      <c r="C483" s="8" t="s">
        <v>190</v>
      </c>
      <c r="D483" s="8">
        <f t="shared" ref="D483:M483" si="224">D466</f>
        <v>0</v>
      </c>
      <c r="E483" s="8">
        <f t="shared" si="224"/>
        <v>0</v>
      </c>
      <c r="F483" s="8">
        <f t="shared" si="224"/>
        <v>0</v>
      </c>
      <c r="G483" s="8">
        <f t="shared" si="224"/>
        <v>0.258308907363026</v>
      </c>
      <c r="H483" s="8">
        <f t="shared" si="224"/>
        <v>0</v>
      </c>
      <c r="I483" s="8">
        <f t="shared" si="224"/>
        <v>3.34916642696619</v>
      </c>
      <c r="J483" s="8">
        <f t="shared" si="224"/>
        <v>0</v>
      </c>
      <c r="K483" s="8">
        <f t="shared" si="224"/>
        <v>0</v>
      </c>
      <c r="L483" s="8">
        <f t="shared" si="224"/>
        <v>0</v>
      </c>
      <c r="M483" s="8">
        <f t="shared" si="224"/>
        <v>0</v>
      </c>
      <c r="N483" s="8">
        <f t="shared" si="220"/>
        <v>0.0516617814726052</v>
      </c>
      <c r="O483" s="8">
        <f t="shared" si="221"/>
        <v>0.669833285393238</v>
      </c>
      <c r="P483" s="8">
        <f t="shared" si="222"/>
        <v>0.0726708028749893</v>
      </c>
      <c r="Q483" s="8">
        <f t="shared" si="223"/>
        <v>0.739704072554068</v>
      </c>
    </row>
    <row r="484" spans="1:17">
      <c r="B484" s="8" t="s">
        <v>222</v>
      </c>
      <c r="C484" s="8" t="s">
        <v>192</v>
      </c>
      <c r="D484" s="8">
        <f t="shared" ref="D484:M484" si="225">D467+D468</f>
        <v>0</v>
      </c>
      <c r="E484" s="8">
        <f t="shared" si="225"/>
        <v>5.652747994821</v>
      </c>
      <c r="F484" s="8">
        <f t="shared" si="225"/>
        <v>8.24608422995925</v>
      </c>
      <c r="G484" s="8">
        <f t="shared" si="225"/>
        <v>3.24428228453488</v>
      </c>
      <c r="H484" s="8">
        <f t="shared" si="225"/>
        <v>1.81560434212723</v>
      </c>
      <c r="I484" s="8">
        <f t="shared" si="225"/>
        <v>0</v>
      </c>
      <c r="J484" s="8">
        <f t="shared" si="225"/>
        <v>0.803594985949773</v>
      </c>
      <c r="K484" s="8">
        <f t="shared" si="225"/>
        <v>0</v>
      </c>
      <c r="L484" s="8">
        <f t="shared" si="225"/>
        <v>6.05286830806827</v>
      </c>
      <c r="M484" s="8">
        <f t="shared" si="225"/>
        <v>0</v>
      </c>
      <c r="N484" s="8">
        <f t="shared" si="220"/>
        <v>3.79174377028847</v>
      </c>
      <c r="O484" s="8">
        <f t="shared" si="221"/>
        <v>1.37129265880361</v>
      </c>
      <c r="P484" s="8">
        <f t="shared" si="222"/>
        <v>2.26055076471738</v>
      </c>
      <c r="Q484" s="8">
        <f t="shared" si="223"/>
        <v>1.24567372749688</v>
      </c>
    </row>
    <row r="485" spans="1:17">
      <c r="B485" s="8" t="s">
        <v>222</v>
      </c>
      <c r="C485" s="8" t="s">
        <v>195</v>
      </c>
      <c r="D485" s="8">
        <f t="shared" ref="D485:M485" si="226">SUM(D469:D470)</f>
        <v>0</v>
      </c>
      <c r="E485" s="8">
        <f t="shared" si="226"/>
        <v>0</v>
      </c>
      <c r="F485" s="8">
        <f t="shared" si="226"/>
        <v>0</v>
      </c>
      <c r="G485" s="8">
        <f t="shared" si="226"/>
        <v>10.7404392208773</v>
      </c>
      <c r="H485" s="8">
        <f t="shared" si="226"/>
        <v>0</v>
      </c>
      <c r="I485" s="8">
        <f t="shared" si="226"/>
        <v>0</v>
      </c>
      <c r="J485" s="8">
        <f t="shared" si="226"/>
        <v>0</v>
      </c>
      <c r="K485" s="8">
        <f t="shared" si="226"/>
        <v>0</v>
      </c>
      <c r="L485" s="8">
        <f t="shared" si="226"/>
        <v>2.69132393757697</v>
      </c>
      <c r="M485" s="8">
        <f t="shared" si="226"/>
        <v>0</v>
      </c>
      <c r="N485" s="8">
        <f t="shared" si="220"/>
        <v>2.14808784417547</v>
      </c>
      <c r="O485" s="8">
        <f t="shared" si="221"/>
        <v>0.538264787515395</v>
      </c>
      <c r="P485" s="8">
        <f t="shared" si="222"/>
        <v>1.65447579833845</v>
      </c>
      <c r="Q485" s="8">
        <f t="shared" si="223"/>
        <v>0.621303861398069</v>
      </c>
    </row>
    <row r="486" spans="1:17">
      <c r="B486" s="8" t="s">
        <v>222</v>
      </c>
      <c r="C486" s="8" t="s">
        <v>198</v>
      </c>
      <c r="D486" s="8">
        <f t="shared" ref="D486:M486" si="227">D471</f>
        <v>0</v>
      </c>
      <c r="E486" s="8">
        <f t="shared" si="227"/>
        <v>2.3194896735143</v>
      </c>
      <c r="F486" s="8">
        <f t="shared" si="227"/>
        <v>1.96629144698077</v>
      </c>
      <c r="G486" s="8">
        <f t="shared" si="227"/>
        <v>3.04408747989383</v>
      </c>
      <c r="H486" s="8">
        <f t="shared" si="227"/>
        <v>0</v>
      </c>
      <c r="I486" s="8">
        <f t="shared" si="227"/>
        <v>0</v>
      </c>
      <c r="J486" s="8">
        <f t="shared" si="227"/>
        <v>0</v>
      </c>
      <c r="K486" s="8">
        <f t="shared" si="227"/>
        <v>0</v>
      </c>
      <c r="L486" s="8">
        <f t="shared" si="227"/>
        <v>0.47405464994476</v>
      </c>
      <c r="M486" s="8">
        <f t="shared" si="227"/>
        <v>0</v>
      </c>
      <c r="N486" s="8">
        <f t="shared" si="220"/>
        <v>1.46597372007778</v>
      </c>
      <c r="O486" s="8">
        <f t="shared" si="221"/>
        <v>0.094810929988952</v>
      </c>
      <c r="P486" s="8">
        <f t="shared" si="222"/>
        <v>1.30215742499806</v>
      </c>
      <c r="Q486" s="8">
        <f t="shared" si="223"/>
        <v>0.130681742959593</v>
      </c>
    </row>
    <row r="487" spans="1:17">
      <c r="B487" s="8" t="s">
        <v>222</v>
      </c>
      <c r="C487" s="8" t="s">
        <v>36</v>
      </c>
      <c r="D487" s="8">
        <f t="shared" ref="D487:M487" si="228">D472</f>
        <v>0</v>
      </c>
      <c r="E487" s="8">
        <f t="shared" si="228"/>
        <v>0</v>
      </c>
      <c r="F487" s="8">
        <f t="shared" si="228"/>
        <v>0</v>
      </c>
      <c r="G487" s="8">
        <f t="shared" si="228"/>
        <v>0</v>
      </c>
      <c r="H487" s="8">
        <f t="shared" si="228"/>
        <v>0</v>
      </c>
      <c r="I487" s="8">
        <f t="shared" si="228"/>
        <v>0</v>
      </c>
      <c r="J487" s="8">
        <f t="shared" si="228"/>
        <v>0</v>
      </c>
      <c r="K487" s="8">
        <f t="shared" si="228"/>
        <v>0</v>
      </c>
      <c r="L487" s="8">
        <f t="shared" si="228"/>
        <v>0</v>
      </c>
      <c r="M487" s="8">
        <f t="shared" si="228"/>
        <v>0</v>
      </c>
      <c r="N487" s="8">
        <f t="shared" si="220"/>
        <v>0</v>
      </c>
      <c r="O487" s="8">
        <f t="shared" si="221"/>
        <v>0</v>
      </c>
      <c r="P487" s="8">
        <f t="shared" si="222"/>
        <v>0</v>
      </c>
      <c r="Q487" s="8">
        <f t="shared" si="223"/>
        <v>0</v>
      </c>
    </row>
    <row r="488" spans="1:17">
      <c r="B488" s="8" t="s">
        <v>222</v>
      </c>
      <c r="C488" s="8" t="s">
        <v>200</v>
      </c>
      <c r="D488" s="8">
        <f t="shared" ref="D488:M488" si="229">SUM(D473:D478)</f>
        <v>0</v>
      </c>
      <c r="E488" s="8">
        <f t="shared" si="229"/>
        <v>17.0611615947497</v>
      </c>
      <c r="F488" s="8">
        <f t="shared" si="229"/>
        <v>5.2527987938746</v>
      </c>
      <c r="G488" s="8">
        <f t="shared" si="229"/>
        <v>20.0812450196971</v>
      </c>
      <c r="H488" s="8">
        <f t="shared" si="229"/>
        <v>6.35531941027407</v>
      </c>
      <c r="I488" s="8">
        <f t="shared" si="229"/>
        <v>1.41410064069813</v>
      </c>
      <c r="J488" s="8">
        <f t="shared" si="229"/>
        <v>11.4203123288338</v>
      </c>
      <c r="K488" s="8">
        <f t="shared" si="229"/>
        <v>19.716059441496</v>
      </c>
      <c r="L488" s="8">
        <f t="shared" si="229"/>
        <v>43.1328367003415</v>
      </c>
      <c r="M488" s="8">
        <f t="shared" si="229"/>
        <v>23.7220356510164</v>
      </c>
      <c r="N488" s="8">
        <f t="shared" si="220"/>
        <v>9.75010496371909</v>
      </c>
      <c r="O488" s="8">
        <f t="shared" si="221"/>
        <v>19.8810689524772</v>
      </c>
      <c r="P488" s="8">
        <f t="shared" si="222"/>
        <v>3.42627884120421</v>
      </c>
      <c r="Q488" s="8">
        <f t="shared" si="223"/>
        <v>4.38412366373785</v>
      </c>
    </row>
    <row r="489" spans="1:17">
      <c r="B489" s="8" t="s">
        <v>222</v>
      </c>
      <c r="C489" s="8" t="s">
        <v>201</v>
      </c>
      <c r="D489" s="8">
        <f t="shared" ref="D489:M489" si="230">D479</f>
        <v>0</v>
      </c>
      <c r="E489" s="8">
        <f t="shared" si="230"/>
        <v>0.693097694793086</v>
      </c>
      <c r="F489" s="8">
        <f t="shared" si="230"/>
        <v>0.674262912879628</v>
      </c>
      <c r="G489" s="8">
        <f t="shared" si="230"/>
        <v>18.835072125733</v>
      </c>
      <c r="H489" s="8">
        <f t="shared" si="230"/>
        <v>0</v>
      </c>
      <c r="I489" s="8">
        <f t="shared" si="230"/>
        <v>15.8042237219521</v>
      </c>
      <c r="J489" s="8">
        <f t="shared" si="230"/>
        <v>50.8090073153932</v>
      </c>
      <c r="K489" s="8">
        <f t="shared" si="230"/>
        <v>2.36225468164794</v>
      </c>
      <c r="L489" s="8">
        <f t="shared" si="230"/>
        <v>28.6132086314396</v>
      </c>
      <c r="M489" s="8">
        <f t="shared" si="230"/>
        <v>90.3411701105915</v>
      </c>
      <c r="N489" s="8">
        <f t="shared" si="220"/>
        <v>4.04048654668114</v>
      </c>
      <c r="O489" s="8">
        <f t="shared" si="221"/>
        <v>37.5859728922049</v>
      </c>
      <c r="P489" s="8">
        <f t="shared" si="222"/>
        <v>2.33356300051184</v>
      </c>
      <c r="Q489" s="8">
        <f t="shared" si="223"/>
        <v>5.27000457666196</v>
      </c>
    </row>
    <row r="492" spans="1:17">
      <c r="A492" s="8" t="s">
        <v>223</v>
      </c>
      <c r="B492" s="8" t="s">
        <v>188</v>
      </c>
      <c r="C492" s="8" t="s">
        <v>189</v>
      </c>
      <c r="D492" s="8">
        <v>6.48656677918462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0.55484757893818</v>
      </c>
      <c r="K492" s="8">
        <v>0</v>
      </c>
      <c r="L492" s="8">
        <v>0</v>
      </c>
      <c r="M492" s="8">
        <v>0</v>
      </c>
    </row>
    <row r="493" spans="1:17">
      <c r="A493" s="8" t="s">
        <v>223</v>
      </c>
      <c r="B493" s="8" t="s">
        <v>190</v>
      </c>
      <c r="C493" s="8" t="s">
        <v>191</v>
      </c>
      <c r="D493" s="8">
        <v>1.26356359289297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0.748904147085243</v>
      </c>
      <c r="K493" s="8">
        <v>0</v>
      </c>
      <c r="L493" s="8">
        <v>0</v>
      </c>
      <c r="M493" s="8">
        <v>0</v>
      </c>
    </row>
    <row r="494" spans="1:17">
      <c r="A494" s="8" t="s">
        <v>223</v>
      </c>
      <c r="B494" s="8" t="s">
        <v>192</v>
      </c>
      <c r="C494" s="8" t="s">
        <v>193</v>
      </c>
      <c r="D494" s="8">
        <v>0</v>
      </c>
      <c r="E494" s="8">
        <v>0</v>
      </c>
      <c r="F494" s="8">
        <v>0</v>
      </c>
      <c r="G494" s="8">
        <v>5.40062830622411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</row>
    <row r="495" spans="1:17">
      <c r="A495" s="8" t="s">
        <v>223</v>
      </c>
      <c r="B495" s="8" t="s">
        <v>192</v>
      </c>
      <c r="C495" s="8" t="s">
        <v>194</v>
      </c>
      <c r="D495" s="8">
        <v>0</v>
      </c>
      <c r="E495" s="8">
        <v>0</v>
      </c>
      <c r="F495" s="8">
        <v>0</v>
      </c>
      <c r="G495" s="8">
        <v>0.568112067466528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</row>
    <row r="496" spans="1:17">
      <c r="A496" s="8" t="s">
        <v>223</v>
      </c>
      <c r="B496" s="8" t="s">
        <v>195</v>
      </c>
      <c r="C496" s="8" t="s">
        <v>196</v>
      </c>
      <c r="D496" s="8">
        <v>0</v>
      </c>
      <c r="E496" s="8">
        <v>0</v>
      </c>
      <c r="F496" s="8">
        <v>1.56413366937833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</row>
    <row r="497" spans="1:17">
      <c r="A497" s="8" t="s">
        <v>223</v>
      </c>
      <c r="B497" s="8" t="s">
        <v>195</v>
      </c>
      <c r="C497" s="8" t="s">
        <v>197</v>
      </c>
      <c r="D497" s="8">
        <v>0</v>
      </c>
      <c r="E497" s="8">
        <v>0</v>
      </c>
      <c r="F497" s="8">
        <v>1.03744377228052</v>
      </c>
      <c r="G497" s="8">
        <v>0</v>
      </c>
      <c r="H497" s="8">
        <v>0</v>
      </c>
      <c r="I497" s="8">
        <v>0</v>
      </c>
      <c r="J497" s="8">
        <v>0.308340101387057</v>
      </c>
      <c r="K497" s="8">
        <v>0</v>
      </c>
      <c r="L497" s="8">
        <v>0</v>
      </c>
      <c r="M497" s="8">
        <v>0</v>
      </c>
    </row>
    <row r="498" spans="1:17">
      <c r="A498" s="8" t="s">
        <v>223</v>
      </c>
      <c r="B498" s="8" t="s">
        <v>198</v>
      </c>
      <c r="C498" s="8" t="s">
        <v>199</v>
      </c>
      <c r="D498" s="8">
        <v>0.715326034837842</v>
      </c>
      <c r="E498" s="8">
        <v>0</v>
      </c>
      <c r="F498" s="8">
        <v>1.09303081390135</v>
      </c>
      <c r="G498" s="8">
        <v>0</v>
      </c>
      <c r="H498" s="8">
        <v>1.18578507001793</v>
      </c>
      <c r="I498" s="8">
        <v>1.5132747049487</v>
      </c>
      <c r="J498" s="8">
        <v>0</v>
      </c>
      <c r="K498" s="8">
        <v>0</v>
      </c>
      <c r="L498" s="8">
        <v>0</v>
      </c>
      <c r="M498" s="8">
        <v>0</v>
      </c>
    </row>
    <row r="499" spans="1:17">
      <c r="A499" s="8" t="s">
        <v>223</v>
      </c>
      <c r="B499" s="8" t="s">
        <v>36</v>
      </c>
      <c r="C499" s="8" t="s">
        <v>130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</row>
    <row r="500" spans="1:17">
      <c r="A500" s="8" t="s">
        <v>223</v>
      </c>
      <c r="B500" s="8" t="s">
        <v>200</v>
      </c>
      <c r="C500" s="8" t="s">
        <v>97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65.4070704382123</v>
      </c>
      <c r="K500" s="8">
        <v>0</v>
      </c>
      <c r="L500" s="8">
        <v>0</v>
      </c>
      <c r="M500" s="8">
        <v>0</v>
      </c>
    </row>
    <row r="501" spans="1:17">
      <c r="A501" s="8" t="s">
        <v>223</v>
      </c>
      <c r="B501" s="8" t="s">
        <v>200</v>
      </c>
      <c r="C501" s="8" t="s">
        <v>98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4.49175138865451</v>
      </c>
      <c r="K501" s="8">
        <v>0</v>
      </c>
      <c r="L501" s="8">
        <v>0</v>
      </c>
      <c r="M501" s="8">
        <v>0.20497659978685</v>
      </c>
    </row>
    <row r="502" spans="1:17">
      <c r="A502" s="8" t="s">
        <v>223</v>
      </c>
      <c r="B502" s="8" t="s">
        <v>200</v>
      </c>
      <c r="C502" s="8" t="s">
        <v>95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</row>
    <row r="503" spans="1:17">
      <c r="A503" s="8" t="s">
        <v>223</v>
      </c>
      <c r="B503" s="8" t="s">
        <v>200</v>
      </c>
      <c r="C503" s="8" t="s">
        <v>93</v>
      </c>
      <c r="D503" s="8">
        <v>0</v>
      </c>
      <c r="E503" s="8">
        <v>1.0367093889473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5.08117865807119</v>
      </c>
      <c r="M503" s="8">
        <v>0</v>
      </c>
    </row>
    <row r="504" spans="1:17">
      <c r="A504" s="8" t="s">
        <v>223</v>
      </c>
      <c r="B504" s="8" t="s">
        <v>200</v>
      </c>
      <c r="C504" s="8" t="s">
        <v>96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 spans="1:17">
      <c r="A505" s="8" t="s">
        <v>223</v>
      </c>
      <c r="B505" s="8" t="s">
        <v>200</v>
      </c>
      <c r="C505" s="8" t="s">
        <v>94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0.132572637269015</v>
      </c>
      <c r="M505" s="8">
        <v>3.45149977869327</v>
      </c>
    </row>
    <row r="506" spans="1:17">
      <c r="A506" s="8" t="s">
        <v>223</v>
      </c>
      <c r="B506" s="8" t="s">
        <v>201</v>
      </c>
      <c r="C506" s="8" t="s">
        <v>202</v>
      </c>
      <c r="D506" s="8">
        <v>0</v>
      </c>
      <c r="E506" s="8">
        <v>0.932930559369703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5.58958390417898</v>
      </c>
      <c r="M506" s="8">
        <v>0</v>
      </c>
    </row>
    <row r="508" spans="1:17">
      <c r="N508" s="11" t="s">
        <v>203</v>
      </c>
      <c r="O508" s="11" t="s">
        <v>203</v>
      </c>
      <c r="P508" s="11" t="s">
        <v>204</v>
      </c>
      <c r="Q508" s="11" t="s">
        <v>204</v>
      </c>
    </row>
    <row r="509" spans="1:17">
      <c r="B509" s="8" t="s">
        <v>223</v>
      </c>
      <c r="C509" s="8" t="s">
        <v>188</v>
      </c>
      <c r="D509" s="8">
        <f t="shared" ref="D509:M509" si="231">D492</f>
        <v>6.48656677918462</v>
      </c>
      <c r="E509" s="8">
        <f t="shared" si="231"/>
        <v>0</v>
      </c>
      <c r="F509" s="8">
        <f t="shared" si="231"/>
        <v>0</v>
      </c>
      <c r="G509" s="8">
        <f t="shared" si="231"/>
        <v>0</v>
      </c>
      <c r="H509" s="8">
        <f t="shared" si="231"/>
        <v>0</v>
      </c>
      <c r="I509" s="8">
        <f t="shared" si="231"/>
        <v>0</v>
      </c>
      <c r="J509" s="8">
        <f t="shared" si="231"/>
        <v>0.55484757893818</v>
      </c>
      <c r="K509" s="8">
        <f t="shared" si="231"/>
        <v>0</v>
      </c>
      <c r="L509" s="8">
        <f t="shared" si="231"/>
        <v>0</v>
      </c>
      <c r="M509" s="8">
        <f t="shared" si="231"/>
        <v>0</v>
      </c>
      <c r="N509" s="8">
        <f t="shared" ref="N509:N516" si="232">AVERAGE(D509:H509)</f>
        <v>1.29731335583692</v>
      </c>
      <c r="O509" s="8">
        <f t="shared" ref="O509:O516" si="233">AVERAGE(I509:M509)</f>
        <v>0.110969515787636</v>
      </c>
      <c r="P509" s="8">
        <f t="shared" ref="P509:P516" si="234">LOG(N509+1,2)</f>
        <v>1.19994765518283</v>
      </c>
      <c r="Q509" s="8">
        <f t="shared" ref="Q509:Q516" si="235">LOG(O509+1,2)</f>
        <v>0.151819230745565</v>
      </c>
    </row>
    <row r="510" spans="1:17">
      <c r="B510" s="8" t="s">
        <v>223</v>
      </c>
      <c r="C510" s="8" t="s">
        <v>190</v>
      </c>
      <c r="D510" s="8">
        <f t="shared" ref="D510:M510" si="236">D493</f>
        <v>1.26356359289297</v>
      </c>
      <c r="E510" s="8">
        <f t="shared" si="236"/>
        <v>0</v>
      </c>
      <c r="F510" s="8">
        <f t="shared" si="236"/>
        <v>0</v>
      </c>
      <c r="G510" s="8">
        <f t="shared" si="236"/>
        <v>0</v>
      </c>
      <c r="H510" s="8">
        <f t="shared" si="236"/>
        <v>0</v>
      </c>
      <c r="I510" s="8">
        <f t="shared" si="236"/>
        <v>0</v>
      </c>
      <c r="J510" s="8">
        <f t="shared" si="236"/>
        <v>0.748904147085243</v>
      </c>
      <c r="K510" s="8">
        <f t="shared" si="236"/>
        <v>0</v>
      </c>
      <c r="L510" s="8">
        <f t="shared" si="236"/>
        <v>0</v>
      </c>
      <c r="M510" s="8">
        <f t="shared" si="236"/>
        <v>0</v>
      </c>
      <c r="N510" s="8">
        <f t="shared" si="232"/>
        <v>0.252712718578595</v>
      </c>
      <c r="O510" s="8">
        <f t="shared" si="233"/>
        <v>0.149780829417049</v>
      </c>
      <c r="P510" s="8">
        <f t="shared" si="234"/>
        <v>0.325055603006272</v>
      </c>
      <c r="Q510" s="8">
        <f t="shared" si="235"/>
        <v>0.201358881649824</v>
      </c>
    </row>
    <row r="511" spans="1:17">
      <c r="B511" s="8" t="s">
        <v>223</v>
      </c>
      <c r="C511" s="8" t="s">
        <v>192</v>
      </c>
      <c r="D511" s="8">
        <f t="shared" ref="D511:M511" si="237">D494+D495</f>
        <v>0</v>
      </c>
      <c r="E511" s="8">
        <f t="shared" si="237"/>
        <v>0</v>
      </c>
      <c r="F511" s="8">
        <f t="shared" si="237"/>
        <v>0</v>
      </c>
      <c r="G511" s="8">
        <f t="shared" si="237"/>
        <v>5.96874037369064</v>
      </c>
      <c r="H511" s="8">
        <f t="shared" si="237"/>
        <v>0</v>
      </c>
      <c r="I511" s="8">
        <f t="shared" si="237"/>
        <v>0</v>
      </c>
      <c r="J511" s="8">
        <f t="shared" si="237"/>
        <v>0</v>
      </c>
      <c r="K511" s="8">
        <f t="shared" si="237"/>
        <v>0</v>
      </c>
      <c r="L511" s="8">
        <f t="shared" si="237"/>
        <v>0</v>
      </c>
      <c r="M511" s="8">
        <f t="shared" si="237"/>
        <v>0</v>
      </c>
      <c r="N511" s="8">
        <f t="shared" si="232"/>
        <v>1.19374807473813</v>
      </c>
      <c r="O511" s="8">
        <f t="shared" si="233"/>
        <v>0</v>
      </c>
      <c r="P511" s="8">
        <f t="shared" si="234"/>
        <v>1.1333978592898</v>
      </c>
      <c r="Q511" s="8">
        <f t="shared" si="235"/>
        <v>0</v>
      </c>
    </row>
    <row r="512" spans="1:17">
      <c r="B512" s="8" t="s">
        <v>223</v>
      </c>
      <c r="C512" s="8" t="s">
        <v>195</v>
      </c>
      <c r="D512" s="8">
        <f t="shared" ref="D512:M512" si="238">SUM(D496:D497)</f>
        <v>0</v>
      </c>
      <c r="E512" s="8">
        <f t="shared" si="238"/>
        <v>0</v>
      </c>
      <c r="F512" s="8">
        <f t="shared" si="238"/>
        <v>2.60157744165885</v>
      </c>
      <c r="G512" s="8">
        <f t="shared" si="238"/>
        <v>0</v>
      </c>
      <c r="H512" s="8">
        <f t="shared" si="238"/>
        <v>0</v>
      </c>
      <c r="I512" s="8">
        <f t="shared" si="238"/>
        <v>0</v>
      </c>
      <c r="J512" s="8">
        <f t="shared" si="238"/>
        <v>0.308340101387057</v>
      </c>
      <c r="K512" s="8">
        <f t="shared" si="238"/>
        <v>0</v>
      </c>
      <c r="L512" s="8">
        <f t="shared" si="238"/>
        <v>0</v>
      </c>
      <c r="M512" s="8">
        <f t="shared" si="238"/>
        <v>0</v>
      </c>
      <c r="N512" s="8">
        <f t="shared" si="232"/>
        <v>0.52031548833177</v>
      </c>
      <c r="O512" s="8">
        <f t="shared" si="233"/>
        <v>0.0616680202774115</v>
      </c>
      <c r="P512" s="8">
        <f t="shared" si="234"/>
        <v>0.604370735657573</v>
      </c>
      <c r="Q512" s="8">
        <f t="shared" si="235"/>
        <v>0.0863327111760525</v>
      </c>
    </row>
    <row r="513" spans="1:17">
      <c r="B513" s="8" t="s">
        <v>223</v>
      </c>
      <c r="C513" s="8" t="s">
        <v>198</v>
      </c>
      <c r="D513" s="8">
        <f t="shared" ref="D513:M513" si="239">D498</f>
        <v>0.715326034837842</v>
      </c>
      <c r="E513" s="8">
        <f t="shared" si="239"/>
        <v>0</v>
      </c>
      <c r="F513" s="8">
        <f t="shared" si="239"/>
        <v>1.09303081390135</v>
      </c>
      <c r="G513" s="8">
        <f t="shared" si="239"/>
        <v>0</v>
      </c>
      <c r="H513" s="8">
        <f t="shared" si="239"/>
        <v>1.18578507001793</v>
      </c>
      <c r="I513" s="8">
        <f t="shared" si="239"/>
        <v>1.5132747049487</v>
      </c>
      <c r="J513" s="8">
        <f t="shared" si="239"/>
        <v>0</v>
      </c>
      <c r="K513" s="8">
        <f t="shared" si="239"/>
        <v>0</v>
      </c>
      <c r="L513" s="8">
        <f t="shared" si="239"/>
        <v>0</v>
      </c>
      <c r="M513" s="8">
        <f t="shared" si="239"/>
        <v>0</v>
      </c>
      <c r="N513" s="8">
        <f t="shared" si="232"/>
        <v>0.598828383751423</v>
      </c>
      <c r="O513" s="8">
        <f t="shared" si="233"/>
        <v>0.302654940989739</v>
      </c>
      <c r="P513" s="8">
        <f t="shared" si="234"/>
        <v>0.677015090038834</v>
      </c>
      <c r="Q513" s="8">
        <f t="shared" si="235"/>
        <v>0.381454980414142</v>
      </c>
    </row>
    <row r="514" spans="1:17">
      <c r="B514" s="8" t="s">
        <v>223</v>
      </c>
      <c r="C514" s="8" t="s">
        <v>36</v>
      </c>
      <c r="D514" s="8">
        <f t="shared" ref="D514:M514" si="240">D499</f>
        <v>0</v>
      </c>
      <c r="E514" s="8">
        <f t="shared" si="240"/>
        <v>0</v>
      </c>
      <c r="F514" s="8">
        <f t="shared" si="240"/>
        <v>0</v>
      </c>
      <c r="G514" s="8">
        <f t="shared" si="240"/>
        <v>0</v>
      </c>
      <c r="H514" s="8">
        <f t="shared" si="240"/>
        <v>0</v>
      </c>
      <c r="I514" s="8">
        <f t="shared" si="240"/>
        <v>0</v>
      </c>
      <c r="J514" s="8">
        <f t="shared" si="240"/>
        <v>0</v>
      </c>
      <c r="K514" s="8">
        <f t="shared" si="240"/>
        <v>0</v>
      </c>
      <c r="L514" s="8">
        <f t="shared" si="240"/>
        <v>0</v>
      </c>
      <c r="M514" s="8">
        <f t="shared" si="240"/>
        <v>0</v>
      </c>
      <c r="N514" s="8">
        <f t="shared" si="232"/>
        <v>0</v>
      </c>
      <c r="O514" s="8">
        <f t="shared" si="233"/>
        <v>0</v>
      </c>
      <c r="P514" s="8">
        <f t="shared" si="234"/>
        <v>0</v>
      </c>
      <c r="Q514" s="8">
        <f t="shared" si="235"/>
        <v>0</v>
      </c>
    </row>
    <row r="515" spans="1:17">
      <c r="B515" s="8" t="s">
        <v>223</v>
      </c>
      <c r="C515" s="8" t="s">
        <v>200</v>
      </c>
      <c r="D515" s="8">
        <f t="shared" ref="D515:M515" si="241">SUM(D500:D505)</f>
        <v>0</v>
      </c>
      <c r="E515" s="8">
        <f t="shared" si="241"/>
        <v>1.0367093889473</v>
      </c>
      <c r="F515" s="8">
        <f t="shared" si="241"/>
        <v>0</v>
      </c>
      <c r="G515" s="8">
        <f t="shared" si="241"/>
        <v>0</v>
      </c>
      <c r="H515" s="8">
        <f t="shared" si="241"/>
        <v>0</v>
      </c>
      <c r="I515" s="8">
        <f t="shared" si="241"/>
        <v>0</v>
      </c>
      <c r="J515" s="8">
        <f t="shared" si="241"/>
        <v>69.8988218268668</v>
      </c>
      <c r="K515" s="8">
        <f t="shared" si="241"/>
        <v>0</v>
      </c>
      <c r="L515" s="8">
        <f t="shared" si="241"/>
        <v>5.2137512953402</v>
      </c>
      <c r="M515" s="8">
        <f t="shared" si="241"/>
        <v>3.65647637848012</v>
      </c>
      <c r="N515" s="8">
        <f t="shared" si="232"/>
        <v>0.207341877789459</v>
      </c>
      <c r="O515" s="8">
        <f t="shared" si="233"/>
        <v>15.7538099001374</v>
      </c>
      <c r="P515" s="8">
        <f t="shared" si="234"/>
        <v>0.271834255672552</v>
      </c>
      <c r="Q515" s="8">
        <f t="shared" si="235"/>
        <v>4.06641730383202</v>
      </c>
    </row>
    <row r="516" spans="1:17">
      <c r="B516" s="8" t="s">
        <v>223</v>
      </c>
      <c r="C516" s="8" t="s">
        <v>201</v>
      </c>
      <c r="D516" s="8">
        <f t="shared" ref="D516:M516" si="242">D506</f>
        <v>0</v>
      </c>
      <c r="E516" s="8">
        <f t="shared" si="242"/>
        <v>0.932930559369703</v>
      </c>
      <c r="F516" s="8">
        <f t="shared" si="242"/>
        <v>0</v>
      </c>
      <c r="G516" s="8">
        <f t="shared" si="242"/>
        <v>0</v>
      </c>
      <c r="H516" s="8">
        <f t="shared" si="242"/>
        <v>0</v>
      </c>
      <c r="I516" s="8">
        <f t="shared" si="242"/>
        <v>0</v>
      </c>
      <c r="J516" s="8">
        <f t="shared" si="242"/>
        <v>0</v>
      </c>
      <c r="K516" s="8">
        <f t="shared" si="242"/>
        <v>0</v>
      </c>
      <c r="L516" s="8">
        <f t="shared" si="242"/>
        <v>5.58958390417898</v>
      </c>
      <c r="M516" s="8">
        <f t="shared" si="242"/>
        <v>0</v>
      </c>
      <c r="N516" s="8">
        <f t="shared" si="232"/>
        <v>0.186586111873941</v>
      </c>
      <c r="O516" s="8">
        <f t="shared" si="233"/>
        <v>1.1179167808358</v>
      </c>
      <c r="P516" s="8">
        <f t="shared" si="234"/>
        <v>0.24681680231485</v>
      </c>
      <c r="Q516" s="8">
        <f t="shared" si="235"/>
        <v>1.08264590272297</v>
      </c>
    </row>
    <row r="521" spans="1:17">
      <c r="A521" s="19" t="s">
        <v>224</v>
      </c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</row>
    <row r="522" spans="1:17">
      <c r="A522" s="8" t="s">
        <v>225</v>
      </c>
      <c r="B522" s="8" t="s">
        <v>188</v>
      </c>
      <c r="C522" s="8" t="s">
        <v>189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</row>
    <row r="523" spans="1:17">
      <c r="A523" s="8" t="s">
        <v>225</v>
      </c>
      <c r="B523" s="8" t="s">
        <v>190</v>
      </c>
      <c r="C523" s="8" t="s">
        <v>191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</row>
    <row r="524" spans="1:17">
      <c r="A524" s="8" t="s">
        <v>225</v>
      </c>
      <c r="B524" s="8" t="s">
        <v>192</v>
      </c>
      <c r="C524" s="8" t="s">
        <v>193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</row>
    <row r="525" spans="1:17">
      <c r="A525" s="8" t="s">
        <v>225</v>
      </c>
      <c r="B525" s="8" t="s">
        <v>192</v>
      </c>
      <c r="C525" s="8" t="s">
        <v>194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</row>
    <row r="526" spans="1:17">
      <c r="A526" s="8" t="s">
        <v>225</v>
      </c>
      <c r="B526" s="8" t="s">
        <v>195</v>
      </c>
      <c r="C526" s="8" t="s">
        <v>196</v>
      </c>
      <c r="D526" s="8">
        <v>0</v>
      </c>
      <c r="E526" s="8">
        <v>3.00510164051044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</row>
    <row r="527" spans="1:17">
      <c r="A527" s="8" t="s">
        <v>225</v>
      </c>
      <c r="B527" s="8" t="s">
        <v>195</v>
      </c>
      <c r="C527" s="8" t="s">
        <v>197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0.71567635462824</v>
      </c>
      <c r="M527" s="8">
        <v>0</v>
      </c>
    </row>
    <row r="528" spans="1:17">
      <c r="A528" s="8" t="s">
        <v>225</v>
      </c>
      <c r="B528" s="8" t="s">
        <v>198</v>
      </c>
      <c r="C528" s="8" t="s">
        <v>199</v>
      </c>
      <c r="D528" s="8">
        <v>0</v>
      </c>
      <c r="E528" s="8">
        <v>2.49079879484974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1.92777542215159</v>
      </c>
      <c r="M528" s="8">
        <v>47.1259964548968</v>
      </c>
    </row>
    <row r="529" spans="1:17">
      <c r="A529" s="8" t="s">
        <v>225</v>
      </c>
      <c r="B529" s="8" t="s">
        <v>36</v>
      </c>
      <c r="C529" s="8" t="s">
        <v>130</v>
      </c>
      <c r="D529" s="8">
        <v>0</v>
      </c>
      <c r="E529" s="8">
        <v>0</v>
      </c>
      <c r="F529" s="8">
        <v>2.88811560859875</v>
      </c>
      <c r="G529" s="8">
        <v>0</v>
      </c>
      <c r="H529" s="8">
        <v>0</v>
      </c>
      <c r="I529" s="8">
        <v>0</v>
      </c>
      <c r="J529" s="8">
        <v>5.4697196508569</v>
      </c>
      <c r="K529" s="8">
        <v>0</v>
      </c>
      <c r="L529" s="8">
        <v>0</v>
      </c>
      <c r="M529" s="8">
        <v>13.7181</v>
      </c>
    </row>
    <row r="530" spans="1:17">
      <c r="A530" s="8" t="s">
        <v>225</v>
      </c>
      <c r="B530" s="8" t="s">
        <v>200</v>
      </c>
      <c r="C530" s="8" t="s">
        <v>97</v>
      </c>
      <c r="D530" s="8">
        <v>0</v>
      </c>
      <c r="E530" s="8">
        <v>0</v>
      </c>
      <c r="F530" s="8">
        <v>0</v>
      </c>
      <c r="G530" s="8">
        <v>2.0713212471086</v>
      </c>
      <c r="H530" s="8">
        <v>0</v>
      </c>
      <c r="I530" s="8">
        <v>0</v>
      </c>
      <c r="J530" s="8">
        <v>0</v>
      </c>
      <c r="K530" s="8">
        <v>0</v>
      </c>
      <c r="L530" s="8">
        <v>4.52580744574435</v>
      </c>
      <c r="M530" s="8">
        <v>0</v>
      </c>
    </row>
    <row r="531" spans="1:17">
      <c r="A531" s="8" t="s">
        <v>225</v>
      </c>
      <c r="B531" s="8" t="s">
        <v>200</v>
      </c>
      <c r="C531" s="8" t="s">
        <v>98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1.43792123310962</v>
      </c>
      <c r="K531" s="8">
        <v>6.67181426327924</v>
      </c>
      <c r="L531" s="8">
        <v>2.76144332050249</v>
      </c>
      <c r="M531" s="8">
        <v>0.304247207509183</v>
      </c>
    </row>
    <row r="532" spans="1:17">
      <c r="A532" s="8" t="s">
        <v>225</v>
      </c>
      <c r="B532" s="8" t="s">
        <v>200</v>
      </c>
      <c r="C532" s="8" t="s">
        <v>95</v>
      </c>
      <c r="D532" s="8">
        <v>0</v>
      </c>
      <c r="E532" s="8">
        <v>0</v>
      </c>
      <c r="F532" s="8">
        <v>0</v>
      </c>
      <c r="G532" s="8">
        <v>0.21606692916149</v>
      </c>
      <c r="H532" s="8">
        <v>0</v>
      </c>
      <c r="I532" s="8">
        <v>0</v>
      </c>
      <c r="J532" s="8">
        <v>0</v>
      </c>
      <c r="K532" s="8">
        <v>0</v>
      </c>
      <c r="L532" s="8">
        <v>5.18971921302413</v>
      </c>
      <c r="M532" s="8">
        <v>0</v>
      </c>
    </row>
    <row r="533" spans="1:17">
      <c r="A533" s="8" t="s">
        <v>225</v>
      </c>
      <c r="B533" s="8" t="s">
        <v>200</v>
      </c>
      <c r="C533" s="8" t="s">
        <v>93</v>
      </c>
      <c r="D533" s="8">
        <v>0</v>
      </c>
      <c r="E533" s="8">
        <v>0</v>
      </c>
      <c r="F533" s="8">
        <v>0</v>
      </c>
      <c r="G533" s="8">
        <v>2.0067106875603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</row>
    <row r="534" spans="1:17">
      <c r="A534" s="8" t="s">
        <v>225</v>
      </c>
      <c r="B534" s="8" t="s">
        <v>200</v>
      </c>
      <c r="C534" s="8" t="s">
        <v>96</v>
      </c>
      <c r="D534" s="8">
        <v>0</v>
      </c>
      <c r="E534" s="8">
        <v>3.58407148130897</v>
      </c>
      <c r="F534" s="8">
        <v>4.67869307802892</v>
      </c>
      <c r="G534" s="8">
        <v>10.6987390974496</v>
      </c>
      <c r="H534" s="8">
        <v>0</v>
      </c>
      <c r="I534" s="8">
        <v>1.14176205578717</v>
      </c>
      <c r="J534" s="8">
        <v>2.87791645953971</v>
      </c>
      <c r="K534" s="8">
        <v>0</v>
      </c>
      <c r="L534" s="8">
        <v>1.36504459660005</v>
      </c>
      <c r="M534" s="8">
        <v>4.99634420465646</v>
      </c>
    </row>
    <row r="535" spans="1:17">
      <c r="A535" s="8" t="s">
        <v>225</v>
      </c>
      <c r="B535" s="8" t="s">
        <v>200</v>
      </c>
      <c r="C535" s="8" t="s">
        <v>94</v>
      </c>
      <c r="D535" s="8">
        <v>0</v>
      </c>
      <c r="E535" s="8">
        <v>0</v>
      </c>
      <c r="F535" s="8">
        <v>0</v>
      </c>
      <c r="G535" s="8">
        <v>5.60312975547043</v>
      </c>
      <c r="H535" s="8">
        <v>0</v>
      </c>
      <c r="I535" s="8">
        <v>0</v>
      </c>
      <c r="J535" s="8">
        <v>0</v>
      </c>
      <c r="K535" s="8">
        <v>2.51807187581225</v>
      </c>
      <c r="L535" s="8">
        <v>0.350043739969202</v>
      </c>
      <c r="M535" s="8">
        <v>0</v>
      </c>
    </row>
    <row r="536" spans="1:17">
      <c r="A536" s="8" t="s">
        <v>225</v>
      </c>
      <c r="B536" s="8" t="s">
        <v>201</v>
      </c>
      <c r="C536" s="8" t="s">
        <v>202</v>
      </c>
      <c r="D536" s="8">
        <v>0</v>
      </c>
      <c r="E536" s="8">
        <v>2.94357858166834</v>
      </c>
      <c r="F536" s="8">
        <v>0</v>
      </c>
      <c r="G536" s="8">
        <v>21.7658782215853</v>
      </c>
      <c r="H536" s="8">
        <v>0</v>
      </c>
      <c r="I536" s="8">
        <v>0</v>
      </c>
      <c r="J536" s="8">
        <v>28.24820777393</v>
      </c>
      <c r="K536" s="8">
        <v>0</v>
      </c>
      <c r="L536" s="8">
        <v>6.46214186152052</v>
      </c>
      <c r="M536" s="8">
        <v>68.3177384767882</v>
      </c>
    </row>
    <row r="538" spans="1:17">
      <c r="N538" s="11" t="s">
        <v>203</v>
      </c>
      <c r="O538" s="11" t="s">
        <v>203</v>
      </c>
      <c r="P538" s="11" t="s">
        <v>204</v>
      </c>
      <c r="Q538" s="11" t="s">
        <v>204</v>
      </c>
    </row>
    <row r="539" spans="1:17">
      <c r="B539" s="8" t="s">
        <v>225</v>
      </c>
      <c r="C539" s="8" t="s">
        <v>188</v>
      </c>
      <c r="D539" s="8">
        <f t="shared" ref="D539:M539" si="243">D522</f>
        <v>0</v>
      </c>
      <c r="E539" s="8">
        <f t="shared" si="243"/>
        <v>0</v>
      </c>
      <c r="F539" s="8">
        <f t="shared" si="243"/>
        <v>0</v>
      </c>
      <c r="G539" s="8">
        <f t="shared" si="243"/>
        <v>0</v>
      </c>
      <c r="H539" s="8">
        <f t="shared" si="243"/>
        <v>0</v>
      </c>
      <c r="I539" s="8">
        <f t="shared" si="243"/>
        <v>0</v>
      </c>
      <c r="J539" s="8">
        <f t="shared" si="243"/>
        <v>0</v>
      </c>
      <c r="K539" s="8">
        <f t="shared" si="243"/>
        <v>0</v>
      </c>
      <c r="L539" s="8">
        <f t="shared" si="243"/>
        <v>0</v>
      </c>
      <c r="M539" s="8">
        <f t="shared" si="243"/>
        <v>0</v>
      </c>
      <c r="N539" s="8">
        <f t="shared" ref="N539:N546" si="244">AVERAGE(D539:H539)</f>
        <v>0</v>
      </c>
      <c r="O539" s="8">
        <f t="shared" ref="O539:O546" si="245">AVERAGE(I539:M539)</f>
        <v>0</v>
      </c>
      <c r="P539" s="8">
        <f t="shared" ref="P539:P546" si="246">LOG(N539+1,2)</f>
        <v>0</v>
      </c>
      <c r="Q539" s="8">
        <f t="shared" ref="Q539:Q546" si="247">LOG(O539+1,2)</f>
        <v>0</v>
      </c>
    </row>
    <row r="540" spans="1:17">
      <c r="B540" s="8" t="s">
        <v>225</v>
      </c>
      <c r="C540" s="8" t="s">
        <v>190</v>
      </c>
      <c r="D540" s="8">
        <f t="shared" ref="D540:M540" si="248">D523</f>
        <v>0</v>
      </c>
      <c r="E540" s="8">
        <f t="shared" si="248"/>
        <v>0</v>
      </c>
      <c r="F540" s="8">
        <f t="shared" si="248"/>
        <v>0</v>
      </c>
      <c r="G540" s="8">
        <f t="shared" si="248"/>
        <v>0</v>
      </c>
      <c r="H540" s="8">
        <f t="shared" si="248"/>
        <v>0</v>
      </c>
      <c r="I540" s="8">
        <f t="shared" si="248"/>
        <v>0</v>
      </c>
      <c r="J540" s="8">
        <f t="shared" si="248"/>
        <v>0</v>
      </c>
      <c r="K540" s="8">
        <f t="shared" si="248"/>
        <v>0</v>
      </c>
      <c r="L540" s="8">
        <f t="shared" si="248"/>
        <v>0</v>
      </c>
      <c r="M540" s="8">
        <f t="shared" si="248"/>
        <v>0</v>
      </c>
      <c r="N540" s="8">
        <f t="shared" si="244"/>
        <v>0</v>
      </c>
      <c r="O540" s="8">
        <f t="shared" si="245"/>
        <v>0</v>
      </c>
      <c r="P540" s="8">
        <f t="shared" si="246"/>
        <v>0</v>
      </c>
      <c r="Q540" s="8">
        <f t="shared" si="247"/>
        <v>0</v>
      </c>
    </row>
    <row r="541" spans="1:17">
      <c r="B541" s="8" t="s">
        <v>225</v>
      </c>
      <c r="C541" s="8" t="s">
        <v>192</v>
      </c>
      <c r="D541" s="8">
        <f t="shared" ref="D541:M541" si="249">D524+D525</f>
        <v>0</v>
      </c>
      <c r="E541" s="8">
        <f t="shared" si="249"/>
        <v>0</v>
      </c>
      <c r="F541" s="8">
        <f t="shared" si="249"/>
        <v>0</v>
      </c>
      <c r="G541" s="8">
        <f t="shared" si="249"/>
        <v>0</v>
      </c>
      <c r="H541" s="8">
        <f t="shared" si="249"/>
        <v>0</v>
      </c>
      <c r="I541" s="8">
        <f t="shared" si="249"/>
        <v>0</v>
      </c>
      <c r="J541" s="8">
        <f t="shared" si="249"/>
        <v>0</v>
      </c>
      <c r="K541" s="8">
        <f t="shared" si="249"/>
        <v>0</v>
      </c>
      <c r="L541" s="8">
        <f t="shared" si="249"/>
        <v>0</v>
      </c>
      <c r="M541" s="8">
        <f t="shared" si="249"/>
        <v>0</v>
      </c>
      <c r="N541" s="8">
        <f t="shared" si="244"/>
        <v>0</v>
      </c>
      <c r="O541" s="8">
        <f t="shared" si="245"/>
        <v>0</v>
      </c>
      <c r="P541" s="8">
        <f t="shared" si="246"/>
        <v>0</v>
      </c>
      <c r="Q541" s="8">
        <f t="shared" si="247"/>
        <v>0</v>
      </c>
    </row>
    <row r="542" spans="1:17">
      <c r="B542" s="8" t="s">
        <v>225</v>
      </c>
      <c r="C542" s="8" t="s">
        <v>195</v>
      </c>
      <c r="D542" s="8">
        <f t="shared" ref="D542:M542" si="250">SUM(D526:D527)</f>
        <v>0</v>
      </c>
      <c r="E542" s="8">
        <f t="shared" si="250"/>
        <v>3.00510164051044</v>
      </c>
      <c r="F542" s="8">
        <f t="shared" si="250"/>
        <v>0</v>
      </c>
      <c r="G542" s="8">
        <f t="shared" si="250"/>
        <v>0</v>
      </c>
      <c r="H542" s="8">
        <f t="shared" si="250"/>
        <v>0</v>
      </c>
      <c r="I542" s="8">
        <f t="shared" si="250"/>
        <v>0</v>
      </c>
      <c r="J542" s="8">
        <f t="shared" si="250"/>
        <v>0</v>
      </c>
      <c r="K542" s="8">
        <f t="shared" si="250"/>
        <v>0</v>
      </c>
      <c r="L542" s="8">
        <f t="shared" si="250"/>
        <v>0.71567635462824</v>
      </c>
      <c r="M542" s="8">
        <f t="shared" si="250"/>
        <v>0</v>
      </c>
      <c r="N542" s="8">
        <f t="shared" si="244"/>
        <v>0.601020328102088</v>
      </c>
      <c r="O542" s="8">
        <f t="shared" si="245"/>
        <v>0.143135270925648</v>
      </c>
      <c r="P542" s="8">
        <f t="shared" si="246"/>
        <v>0.678991625821621</v>
      </c>
      <c r="Q542" s="8">
        <f t="shared" si="247"/>
        <v>0.192996132464472</v>
      </c>
    </row>
    <row r="543" spans="1:17">
      <c r="B543" s="8" t="s">
        <v>225</v>
      </c>
      <c r="C543" s="8" t="s">
        <v>198</v>
      </c>
      <c r="D543" s="8">
        <f t="shared" ref="D543:M543" si="251">D528</f>
        <v>0</v>
      </c>
      <c r="E543" s="8">
        <f t="shared" si="251"/>
        <v>2.49079879484974</v>
      </c>
      <c r="F543" s="8">
        <f t="shared" si="251"/>
        <v>0</v>
      </c>
      <c r="G543" s="8">
        <f t="shared" si="251"/>
        <v>0</v>
      </c>
      <c r="H543" s="8">
        <f t="shared" si="251"/>
        <v>0</v>
      </c>
      <c r="I543" s="8">
        <f t="shared" si="251"/>
        <v>0</v>
      </c>
      <c r="J543" s="8">
        <f t="shared" si="251"/>
        <v>0</v>
      </c>
      <c r="K543" s="8">
        <f t="shared" si="251"/>
        <v>0</v>
      </c>
      <c r="L543" s="8">
        <f t="shared" si="251"/>
        <v>1.92777542215159</v>
      </c>
      <c r="M543" s="8">
        <f t="shared" si="251"/>
        <v>47.1259964548968</v>
      </c>
      <c r="N543" s="8">
        <f t="shared" si="244"/>
        <v>0.498159758969948</v>
      </c>
      <c r="O543" s="8">
        <f t="shared" si="245"/>
        <v>9.81075437540968</v>
      </c>
      <c r="P543" s="8">
        <f t="shared" si="246"/>
        <v>0.58319147638961</v>
      </c>
      <c r="Q543" s="8">
        <f t="shared" si="247"/>
        <v>3.43439529286183</v>
      </c>
    </row>
    <row r="544" spans="1:17">
      <c r="B544" s="8" t="s">
        <v>225</v>
      </c>
      <c r="C544" s="8" t="s">
        <v>36</v>
      </c>
      <c r="D544" s="8">
        <f t="shared" ref="D544:M544" si="252">D529</f>
        <v>0</v>
      </c>
      <c r="E544" s="8">
        <f t="shared" si="252"/>
        <v>0</v>
      </c>
      <c r="F544" s="8">
        <f t="shared" si="252"/>
        <v>2.88811560859875</v>
      </c>
      <c r="G544" s="8">
        <f t="shared" si="252"/>
        <v>0</v>
      </c>
      <c r="H544" s="8">
        <f t="shared" si="252"/>
        <v>0</v>
      </c>
      <c r="I544" s="8">
        <f t="shared" si="252"/>
        <v>0</v>
      </c>
      <c r="J544" s="8">
        <f t="shared" si="252"/>
        <v>5.4697196508569</v>
      </c>
      <c r="K544" s="8">
        <f t="shared" si="252"/>
        <v>0</v>
      </c>
      <c r="L544" s="8">
        <f t="shared" si="252"/>
        <v>0</v>
      </c>
      <c r="M544" s="8">
        <f t="shared" si="252"/>
        <v>13.7181</v>
      </c>
      <c r="N544" s="8">
        <f t="shared" si="244"/>
        <v>0.57762312171975</v>
      </c>
      <c r="O544" s="8">
        <f t="shared" si="245"/>
        <v>3.83756393017138</v>
      </c>
      <c r="P544" s="8">
        <f t="shared" si="246"/>
        <v>0.657752601190768</v>
      </c>
      <c r="Q544" s="8">
        <f t="shared" si="247"/>
        <v>2.27428072712408</v>
      </c>
    </row>
    <row r="545" spans="1:17">
      <c r="B545" s="8" t="s">
        <v>225</v>
      </c>
      <c r="C545" s="8" t="s">
        <v>200</v>
      </c>
      <c r="D545" s="8">
        <f t="shared" ref="D545:M545" si="253">SUM(D530:D535)</f>
        <v>0</v>
      </c>
      <c r="E545" s="8">
        <f t="shared" si="253"/>
        <v>3.58407148130897</v>
      </c>
      <c r="F545" s="8">
        <f t="shared" si="253"/>
        <v>4.67869307802892</v>
      </c>
      <c r="G545" s="8">
        <f t="shared" si="253"/>
        <v>20.5959677167504</v>
      </c>
      <c r="H545" s="8">
        <f t="shared" si="253"/>
        <v>0</v>
      </c>
      <c r="I545" s="8">
        <f t="shared" si="253"/>
        <v>1.14176205578717</v>
      </c>
      <c r="J545" s="8">
        <f t="shared" si="253"/>
        <v>4.31583769264933</v>
      </c>
      <c r="K545" s="8">
        <f t="shared" si="253"/>
        <v>9.18988613909149</v>
      </c>
      <c r="L545" s="8">
        <f t="shared" si="253"/>
        <v>14.1920583158402</v>
      </c>
      <c r="M545" s="8">
        <f t="shared" si="253"/>
        <v>5.30059141216565</v>
      </c>
      <c r="N545" s="8">
        <f t="shared" si="244"/>
        <v>5.77174645521766</v>
      </c>
      <c r="O545" s="8">
        <f t="shared" si="245"/>
        <v>6.82802712310677</v>
      </c>
      <c r="P545" s="8">
        <f t="shared" si="246"/>
        <v>2.7595279574852</v>
      </c>
      <c r="Q545" s="8">
        <f t="shared" si="247"/>
        <v>2.96864875472607</v>
      </c>
    </row>
    <row r="546" spans="1:17">
      <c r="B546" s="8" t="s">
        <v>225</v>
      </c>
      <c r="C546" s="8" t="s">
        <v>201</v>
      </c>
      <c r="D546" s="8">
        <f t="shared" ref="D546:M546" si="254">D536</f>
        <v>0</v>
      </c>
      <c r="E546" s="8">
        <f t="shared" si="254"/>
        <v>2.94357858166834</v>
      </c>
      <c r="F546" s="8">
        <f t="shared" si="254"/>
        <v>0</v>
      </c>
      <c r="G546" s="8">
        <f t="shared" si="254"/>
        <v>21.7658782215853</v>
      </c>
      <c r="H546" s="8">
        <f t="shared" si="254"/>
        <v>0</v>
      </c>
      <c r="I546" s="8">
        <f t="shared" si="254"/>
        <v>0</v>
      </c>
      <c r="J546" s="8">
        <f t="shared" si="254"/>
        <v>28.24820777393</v>
      </c>
      <c r="K546" s="8">
        <f t="shared" si="254"/>
        <v>0</v>
      </c>
      <c r="L546" s="8">
        <f t="shared" si="254"/>
        <v>6.46214186152052</v>
      </c>
      <c r="M546" s="8">
        <f t="shared" si="254"/>
        <v>68.3177384767882</v>
      </c>
      <c r="N546" s="8">
        <f t="shared" si="244"/>
        <v>4.94189136065072</v>
      </c>
      <c r="O546" s="8">
        <f t="shared" si="245"/>
        <v>20.6056176224477</v>
      </c>
      <c r="P546" s="8">
        <f t="shared" si="246"/>
        <v>2.57092222771064</v>
      </c>
      <c r="Q546" s="8">
        <f t="shared" si="247"/>
        <v>4.43333456756954</v>
      </c>
    </row>
    <row r="550" spans="1:17">
      <c r="A550" s="8" t="s">
        <v>226</v>
      </c>
      <c r="B550" s="8" t="s">
        <v>188</v>
      </c>
      <c r="C550" s="8" t="s">
        <v>189</v>
      </c>
      <c r="D550" s="8">
        <v>0</v>
      </c>
      <c r="E550" s="8">
        <v>0</v>
      </c>
      <c r="F550" s="8">
        <v>0</v>
      </c>
      <c r="G550" s="8">
        <v>2.29921084490275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</row>
    <row r="551" spans="1:17">
      <c r="A551" s="8" t="s">
        <v>226</v>
      </c>
      <c r="B551" s="8" t="s">
        <v>190</v>
      </c>
      <c r="C551" s="8" t="s">
        <v>191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2.04842469799384</v>
      </c>
    </row>
    <row r="552" spans="1:17">
      <c r="A552" s="8" t="s">
        <v>226</v>
      </c>
      <c r="B552" s="8" t="s">
        <v>192</v>
      </c>
      <c r="C552" s="8" t="s">
        <v>193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</row>
    <row r="553" spans="1:17">
      <c r="A553" s="8" t="s">
        <v>226</v>
      </c>
      <c r="B553" s="8" t="s">
        <v>192</v>
      </c>
      <c r="C553" s="8" t="s">
        <v>194</v>
      </c>
      <c r="D553" s="8">
        <v>0</v>
      </c>
      <c r="E553" s="8">
        <v>14.5315248933026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7.16100243619356</v>
      </c>
      <c r="M553" s="8">
        <v>0</v>
      </c>
    </row>
    <row r="554" spans="1:17">
      <c r="A554" s="8" t="s">
        <v>226</v>
      </c>
      <c r="B554" s="8" t="s">
        <v>195</v>
      </c>
      <c r="C554" s="8" t="s">
        <v>196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</row>
    <row r="555" spans="1:17">
      <c r="A555" s="8" t="s">
        <v>226</v>
      </c>
      <c r="B555" s="8" t="s">
        <v>195</v>
      </c>
      <c r="C555" s="8" t="s">
        <v>197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</row>
    <row r="556" spans="1:17">
      <c r="A556" s="8" t="s">
        <v>226</v>
      </c>
      <c r="B556" s="8" t="s">
        <v>198</v>
      </c>
      <c r="C556" s="8" t="s">
        <v>199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</row>
    <row r="557" spans="1:17">
      <c r="A557" s="8" t="s">
        <v>226</v>
      </c>
      <c r="B557" s="8" t="s">
        <v>36</v>
      </c>
      <c r="C557" s="8" t="s">
        <v>130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</row>
    <row r="558" spans="1:17">
      <c r="A558" s="8" t="s">
        <v>226</v>
      </c>
      <c r="B558" s="8" t="s">
        <v>200</v>
      </c>
      <c r="C558" s="8" t="s">
        <v>97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</row>
    <row r="559" spans="1:17">
      <c r="A559" s="8" t="s">
        <v>226</v>
      </c>
      <c r="B559" s="8" t="s">
        <v>200</v>
      </c>
      <c r="C559" s="8" t="s">
        <v>98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5.14469786054822</v>
      </c>
      <c r="M559" s="8">
        <v>0</v>
      </c>
    </row>
    <row r="560" spans="1:17">
      <c r="A560" s="8" t="s">
        <v>226</v>
      </c>
      <c r="B560" s="8" t="s">
        <v>200</v>
      </c>
      <c r="C560" s="8" t="s">
        <v>95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</row>
    <row r="561" spans="1:17">
      <c r="A561" s="8" t="s">
        <v>226</v>
      </c>
      <c r="B561" s="8" t="s">
        <v>200</v>
      </c>
      <c r="C561" s="8" t="s">
        <v>93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</row>
    <row r="562" spans="1:17">
      <c r="A562" s="8" t="s">
        <v>226</v>
      </c>
      <c r="B562" s="8" t="s">
        <v>200</v>
      </c>
      <c r="C562" s="8" t="s">
        <v>96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</row>
    <row r="563" spans="1:17">
      <c r="A563" s="8" t="s">
        <v>226</v>
      </c>
      <c r="B563" s="8" t="s">
        <v>200</v>
      </c>
      <c r="C563" s="8" t="s">
        <v>94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</row>
    <row r="564" spans="1:17">
      <c r="A564" s="8" t="s">
        <v>226</v>
      </c>
      <c r="B564" s="8" t="s">
        <v>201</v>
      </c>
      <c r="C564" s="8" t="s">
        <v>202</v>
      </c>
      <c r="D564" s="8">
        <v>0</v>
      </c>
      <c r="E564" s="8">
        <v>0</v>
      </c>
      <c r="F564" s="8">
        <v>0</v>
      </c>
      <c r="G564" s="8">
        <v>2.03774780101664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23.6486162333034</v>
      </c>
    </row>
    <row r="566" spans="1:17">
      <c r="N566" s="11" t="s">
        <v>203</v>
      </c>
      <c r="O566" s="11" t="s">
        <v>203</v>
      </c>
      <c r="P566" s="11" t="s">
        <v>204</v>
      </c>
      <c r="Q566" s="11" t="s">
        <v>204</v>
      </c>
    </row>
    <row r="567" spans="1:17">
      <c r="B567" s="8" t="s">
        <v>226</v>
      </c>
      <c r="C567" s="8" t="s">
        <v>188</v>
      </c>
      <c r="D567" s="8">
        <f t="shared" ref="D567:M567" si="255">D550</f>
        <v>0</v>
      </c>
      <c r="E567" s="8">
        <f t="shared" si="255"/>
        <v>0</v>
      </c>
      <c r="F567" s="8">
        <f t="shared" si="255"/>
        <v>0</v>
      </c>
      <c r="G567" s="8">
        <f t="shared" si="255"/>
        <v>2.29921084490275</v>
      </c>
      <c r="H567" s="8">
        <f t="shared" si="255"/>
        <v>0</v>
      </c>
      <c r="I567" s="8">
        <f t="shared" si="255"/>
        <v>0</v>
      </c>
      <c r="J567" s="8">
        <f t="shared" si="255"/>
        <v>0</v>
      </c>
      <c r="K567" s="8">
        <f t="shared" si="255"/>
        <v>0</v>
      </c>
      <c r="L567" s="8">
        <f t="shared" si="255"/>
        <v>0</v>
      </c>
      <c r="M567" s="8">
        <f t="shared" si="255"/>
        <v>0</v>
      </c>
      <c r="N567" s="8">
        <f t="shared" ref="N567:N574" si="256">AVERAGE(D567:H567)</f>
        <v>0.45984216898055</v>
      </c>
      <c r="O567" s="8">
        <f t="shared" ref="O567:O574" si="257">AVERAGE(I567:M567)</f>
        <v>0</v>
      </c>
      <c r="P567" s="8">
        <f t="shared" ref="P567:P574" si="258">LOG(N567+1,2)</f>
        <v>0.545812400380887</v>
      </c>
      <c r="Q567" s="8">
        <f t="shared" ref="Q567:Q574" si="259">LOG(O567+1,2)</f>
        <v>0</v>
      </c>
    </row>
    <row r="568" spans="1:17">
      <c r="B568" s="8" t="s">
        <v>226</v>
      </c>
      <c r="C568" s="8" t="s">
        <v>190</v>
      </c>
      <c r="D568" s="8">
        <f t="shared" ref="D568:M568" si="260">D551</f>
        <v>0</v>
      </c>
      <c r="E568" s="8">
        <f t="shared" si="260"/>
        <v>0</v>
      </c>
      <c r="F568" s="8">
        <f t="shared" si="260"/>
        <v>0</v>
      </c>
      <c r="G568" s="8">
        <f t="shared" si="260"/>
        <v>0</v>
      </c>
      <c r="H568" s="8">
        <f t="shared" si="260"/>
        <v>0</v>
      </c>
      <c r="I568" s="8">
        <f t="shared" si="260"/>
        <v>0</v>
      </c>
      <c r="J568" s="8">
        <f t="shared" si="260"/>
        <v>0</v>
      </c>
      <c r="K568" s="8">
        <f t="shared" si="260"/>
        <v>0</v>
      </c>
      <c r="L568" s="8">
        <f t="shared" si="260"/>
        <v>0</v>
      </c>
      <c r="M568" s="8">
        <f t="shared" si="260"/>
        <v>2.04842469799384</v>
      </c>
      <c r="N568" s="8">
        <f t="shared" si="256"/>
        <v>0</v>
      </c>
      <c r="O568" s="8">
        <f t="shared" si="257"/>
        <v>0.409684939598768</v>
      </c>
      <c r="P568" s="8">
        <f t="shared" si="258"/>
        <v>0</v>
      </c>
      <c r="Q568" s="8">
        <f t="shared" si="259"/>
        <v>0.495372760589752</v>
      </c>
    </row>
    <row r="569" spans="1:17">
      <c r="B569" s="8" t="s">
        <v>226</v>
      </c>
      <c r="C569" s="8" t="s">
        <v>192</v>
      </c>
      <c r="D569" s="8">
        <f t="shared" ref="D569:M569" si="261">D552+D553</f>
        <v>0</v>
      </c>
      <c r="E569" s="8">
        <f t="shared" si="261"/>
        <v>14.5315248933026</v>
      </c>
      <c r="F569" s="8">
        <f t="shared" si="261"/>
        <v>0</v>
      </c>
      <c r="G569" s="8">
        <f t="shared" si="261"/>
        <v>0</v>
      </c>
      <c r="H569" s="8">
        <f t="shared" si="261"/>
        <v>0</v>
      </c>
      <c r="I569" s="8">
        <f t="shared" si="261"/>
        <v>0</v>
      </c>
      <c r="J569" s="8">
        <f t="shared" si="261"/>
        <v>0</v>
      </c>
      <c r="K569" s="8">
        <f t="shared" si="261"/>
        <v>0</v>
      </c>
      <c r="L569" s="8">
        <f t="shared" si="261"/>
        <v>7.16100243619356</v>
      </c>
      <c r="M569" s="8">
        <f t="shared" si="261"/>
        <v>0</v>
      </c>
      <c r="N569" s="8">
        <f t="shared" si="256"/>
        <v>2.90630497866052</v>
      </c>
      <c r="O569" s="8">
        <f t="shared" si="257"/>
        <v>1.43220048723871</v>
      </c>
      <c r="P569" s="8">
        <f t="shared" si="258"/>
        <v>1.96580458978406</v>
      </c>
      <c r="Q569" s="8">
        <f t="shared" si="259"/>
        <v>1.2822621556004</v>
      </c>
    </row>
    <row r="570" spans="1:17">
      <c r="B570" s="8" t="s">
        <v>226</v>
      </c>
      <c r="C570" s="8" t="s">
        <v>195</v>
      </c>
      <c r="D570" s="8">
        <f t="shared" ref="D570:M570" si="262">SUM(D554:D555)</f>
        <v>0</v>
      </c>
      <c r="E570" s="8">
        <f t="shared" si="262"/>
        <v>0</v>
      </c>
      <c r="F570" s="8">
        <f t="shared" si="262"/>
        <v>0</v>
      </c>
      <c r="G570" s="8">
        <f t="shared" si="262"/>
        <v>0</v>
      </c>
      <c r="H570" s="8">
        <f t="shared" si="262"/>
        <v>0</v>
      </c>
      <c r="I570" s="8">
        <f t="shared" si="262"/>
        <v>0</v>
      </c>
      <c r="J570" s="8">
        <f t="shared" si="262"/>
        <v>0</v>
      </c>
      <c r="K570" s="8">
        <f t="shared" si="262"/>
        <v>0</v>
      </c>
      <c r="L570" s="8">
        <f t="shared" si="262"/>
        <v>0</v>
      </c>
      <c r="M570" s="8">
        <f t="shared" si="262"/>
        <v>0</v>
      </c>
      <c r="N570" s="8">
        <f t="shared" si="256"/>
        <v>0</v>
      </c>
      <c r="O570" s="8">
        <f t="shared" si="257"/>
        <v>0</v>
      </c>
      <c r="P570" s="8">
        <f t="shared" si="258"/>
        <v>0</v>
      </c>
      <c r="Q570" s="8">
        <f t="shared" si="259"/>
        <v>0</v>
      </c>
    </row>
    <row r="571" spans="1:17">
      <c r="B571" s="8" t="s">
        <v>226</v>
      </c>
      <c r="C571" s="8" t="s">
        <v>198</v>
      </c>
      <c r="D571" s="8">
        <f t="shared" ref="D571:M571" si="263">D556</f>
        <v>0</v>
      </c>
      <c r="E571" s="8">
        <f t="shared" si="263"/>
        <v>0</v>
      </c>
      <c r="F571" s="8">
        <f t="shared" si="263"/>
        <v>0</v>
      </c>
      <c r="G571" s="8">
        <f t="shared" si="263"/>
        <v>0</v>
      </c>
      <c r="H571" s="8">
        <f t="shared" si="263"/>
        <v>0</v>
      </c>
      <c r="I571" s="8">
        <f t="shared" si="263"/>
        <v>0</v>
      </c>
      <c r="J571" s="8">
        <f t="shared" si="263"/>
        <v>0</v>
      </c>
      <c r="K571" s="8">
        <f t="shared" si="263"/>
        <v>0</v>
      </c>
      <c r="L571" s="8">
        <f t="shared" si="263"/>
        <v>0</v>
      </c>
      <c r="M571" s="8">
        <f t="shared" si="263"/>
        <v>0</v>
      </c>
      <c r="N571" s="8">
        <f t="shared" si="256"/>
        <v>0</v>
      </c>
      <c r="O571" s="8">
        <f t="shared" si="257"/>
        <v>0</v>
      </c>
      <c r="P571" s="8">
        <f t="shared" si="258"/>
        <v>0</v>
      </c>
      <c r="Q571" s="8">
        <f t="shared" si="259"/>
        <v>0</v>
      </c>
    </row>
    <row r="572" spans="1:17">
      <c r="B572" s="8" t="s">
        <v>226</v>
      </c>
      <c r="C572" s="8" t="s">
        <v>36</v>
      </c>
      <c r="D572" s="8">
        <f t="shared" ref="D572:M572" si="264">D557</f>
        <v>0</v>
      </c>
      <c r="E572" s="8">
        <f t="shared" si="264"/>
        <v>0</v>
      </c>
      <c r="F572" s="8">
        <f t="shared" si="264"/>
        <v>0</v>
      </c>
      <c r="G572" s="8">
        <f t="shared" si="264"/>
        <v>0</v>
      </c>
      <c r="H572" s="8">
        <f t="shared" si="264"/>
        <v>0</v>
      </c>
      <c r="I572" s="8">
        <f t="shared" si="264"/>
        <v>0</v>
      </c>
      <c r="J572" s="8">
        <f t="shared" si="264"/>
        <v>0</v>
      </c>
      <c r="K572" s="8">
        <f t="shared" si="264"/>
        <v>0</v>
      </c>
      <c r="L572" s="8">
        <f t="shared" si="264"/>
        <v>0</v>
      </c>
      <c r="M572" s="8">
        <f t="shared" si="264"/>
        <v>0</v>
      </c>
      <c r="N572" s="8">
        <f t="shared" si="256"/>
        <v>0</v>
      </c>
      <c r="O572" s="8">
        <f t="shared" si="257"/>
        <v>0</v>
      </c>
      <c r="P572" s="8">
        <f t="shared" si="258"/>
        <v>0</v>
      </c>
      <c r="Q572" s="8">
        <f t="shared" si="259"/>
        <v>0</v>
      </c>
    </row>
    <row r="573" spans="1:17">
      <c r="B573" s="8" t="s">
        <v>226</v>
      </c>
      <c r="C573" s="8" t="s">
        <v>200</v>
      </c>
      <c r="D573" s="8">
        <f t="shared" ref="D573:M573" si="265">SUM(D558:D563)</f>
        <v>0</v>
      </c>
      <c r="E573" s="8">
        <f t="shared" si="265"/>
        <v>0</v>
      </c>
      <c r="F573" s="8">
        <f t="shared" si="265"/>
        <v>0</v>
      </c>
      <c r="G573" s="8">
        <f t="shared" si="265"/>
        <v>0</v>
      </c>
      <c r="H573" s="8">
        <f t="shared" si="265"/>
        <v>0</v>
      </c>
      <c r="I573" s="8">
        <f t="shared" si="265"/>
        <v>0</v>
      </c>
      <c r="J573" s="8">
        <f t="shared" si="265"/>
        <v>0</v>
      </c>
      <c r="K573" s="8">
        <f t="shared" si="265"/>
        <v>0</v>
      </c>
      <c r="L573" s="8">
        <f t="shared" si="265"/>
        <v>5.14469786054822</v>
      </c>
      <c r="M573" s="8">
        <f t="shared" si="265"/>
        <v>0</v>
      </c>
      <c r="N573" s="8">
        <f t="shared" si="256"/>
        <v>0</v>
      </c>
      <c r="O573" s="8">
        <f t="shared" si="257"/>
        <v>1.02893957210964</v>
      </c>
      <c r="P573" s="8">
        <f t="shared" si="258"/>
        <v>0</v>
      </c>
      <c r="Q573" s="8">
        <f t="shared" si="259"/>
        <v>1.02072589796004</v>
      </c>
    </row>
    <row r="574" spans="1:17">
      <c r="B574" s="8" t="s">
        <v>226</v>
      </c>
      <c r="C574" s="8" t="s">
        <v>201</v>
      </c>
      <c r="D574" s="8">
        <f t="shared" ref="D574:M574" si="266">D564</f>
        <v>0</v>
      </c>
      <c r="E574" s="8">
        <f t="shared" si="266"/>
        <v>0</v>
      </c>
      <c r="F574" s="8">
        <f t="shared" si="266"/>
        <v>0</v>
      </c>
      <c r="G574" s="8">
        <f t="shared" si="266"/>
        <v>2.03774780101664</v>
      </c>
      <c r="H574" s="8">
        <f t="shared" si="266"/>
        <v>0</v>
      </c>
      <c r="I574" s="8">
        <f t="shared" si="266"/>
        <v>0</v>
      </c>
      <c r="J574" s="8">
        <f t="shared" si="266"/>
        <v>0</v>
      </c>
      <c r="K574" s="8">
        <f t="shared" si="266"/>
        <v>0</v>
      </c>
      <c r="L574" s="8">
        <f t="shared" si="266"/>
        <v>0</v>
      </c>
      <c r="M574" s="8">
        <f t="shared" si="266"/>
        <v>23.6486162333034</v>
      </c>
      <c r="N574" s="8">
        <f t="shared" si="256"/>
        <v>0.407549560203328</v>
      </c>
      <c r="O574" s="8">
        <f t="shared" si="257"/>
        <v>4.72972324666068</v>
      </c>
      <c r="P574" s="8">
        <f t="shared" si="258"/>
        <v>0.4931857208851</v>
      </c>
      <c r="Q574" s="8">
        <f t="shared" si="259"/>
        <v>2.51846545655414</v>
      </c>
    </row>
    <row r="577" spans="1:13">
      <c r="A577" s="8" t="s">
        <v>227</v>
      </c>
      <c r="B577" s="8" t="s">
        <v>188</v>
      </c>
      <c r="C577" s="8" t="s">
        <v>189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 spans="1:13">
      <c r="A578" s="8" t="s">
        <v>227</v>
      </c>
      <c r="B578" s="8" t="s">
        <v>190</v>
      </c>
      <c r="C578" s="8" t="s">
        <v>191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</row>
    <row r="579" spans="1:13">
      <c r="A579" s="8" t="s">
        <v>227</v>
      </c>
      <c r="B579" s="8" t="s">
        <v>192</v>
      </c>
      <c r="C579" s="8" t="s">
        <v>193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 spans="1:13">
      <c r="A580" s="8" t="s">
        <v>227</v>
      </c>
      <c r="B580" s="8" t="s">
        <v>192</v>
      </c>
      <c r="C580" s="8" t="s">
        <v>194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</row>
    <row r="581" spans="1:13">
      <c r="A581" s="8" t="s">
        <v>227</v>
      </c>
      <c r="B581" s="8" t="s">
        <v>195</v>
      </c>
      <c r="C581" s="8" t="s">
        <v>196</v>
      </c>
      <c r="D581" s="8">
        <v>0</v>
      </c>
      <c r="E581" s="8">
        <v>0</v>
      </c>
      <c r="F581" s="8">
        <v>0.307808722061265</v>
      </c>
      <c r="G581" s="8">
        <v>0</v>
      </c>
      <c r="H581" s="8">
        <v>1.03779908502435</v>
      </c>
      <c r="I581" s="8">
        <v>0</v>
      </c>
      <c r="J581" s="8">
        <v>0</v>
      </c>
      <c r="K581" s="8">
        <v>0</v>
      </c>
      <c r="L581" s="8">
        <v>0</v>
      </c>
      <c r="M581" s="8">
        <v>1.13101392170024</v>
      </c>
    </row>
    <row r="582" spans="1:13">
      <c r="A582" s="8" t="s">
        <v>227</v>
      </c>
      <c r="B582" s="8" t="s">
        <v>195</v>
      </c>
      <c r="C582" s="8" t="s">
        <v>197</v>
      </c>
      <c r="D582" s="8">
        <v>0</v>
      </c>
      <c r="E582" s="8">
        <v>0</v>
      </c>
      <c r="F582" s="8">
        <v>0.866424276302527</v>
      </c>
      <c r="G582" s="8">
        <v>0</v>
      </c>
      <c r="H582" s="8">
        <v>11.7123034951937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</row>
    <row r="583" spans="1:13">
      <c r="A583" s="8" t="s">
        <v>227</v>
      </c>
      <c r="B583" s="8" t="s">
        <v>198</v>
      </c>
      <c r="C583" s="8" t="s">
        <v>199</v>
      </c>
      <c r="D583" s="8">
        <v>0</v>
      </c>
      <c r="E583" s="8">
        <v>0.902123262871895</v>
      </c>
      <c r="F583" s="8">
        <v>0</v>
      </c>
      <c r="G583" s="8">
        <v>5.07603488483532</v>
      </c>
      <c r="H583" s="8">
        <v>0</v>
      </c>
      <c r="I583" s="8">
        <v>0</v>
      </c>
      <c r="J583" s="8">
        <v>0</v>
      </c>
      <c r="K583" s="8">
        <v>0</v>
      </c>
      <c r="L583" s="8">
        <v>34.8441432980008</v>
      </c>
      <c r="M583" s="8">
        <v>0</v>
      </c>
    </row>
    <row r="584" spans="1:13">
      <c r="A584" s="8" t="s">
        <v>227</v>
      </c>
      <c r="B584" s="8" t="s">
        <v>36</v>
      </c>
      <c r="C584" s="8" t="s">
        <v>130</v>
      </c>
      <c r="D584" s="8">
        <v>0</v>
      </c>
      <c r="E584" s="8">
        <v>0</v>
      </c>
      <c r="F584" s="8">
        <v>0</v>
      </c>
      <c r="G584" s="8">
        <v>0</v>
      </c>
      <c r="H584" s="8">
        <v>24.448428857959</v>
      </c>
      <c r="I584" s="8">
        <v>0</v>
      </c>
      <c r="J584" s="8">
        <v>1.17709544564557</v>
      </c>
      <c r="K584" s="8">
        <v>0</v>
      </c>
      <c r="L584" s="8">
        <v>0</v>
      </c>
      <c r="M584" s="8">
        <v>0</v>
      </c>
    </row>
    <row r="585" spans="1:13">
      <c r="A585" s="8" t="s">
        <v>227</v>
      </c>
      <c r="B585" s="8" t="s">
        <v>200</v>
      </c>
      <c r="C585" s="8" t="s">
        <v>97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</row>
    <row r="586" spans="1:13">
      <c r="A586" s="8" t="s">
        <v>227</v>
      </c>
      <c r="B586" s="8" t="s">
        <v>200</v>
      </c>
      <c r="C586" s="8" t="s">
        <v>98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4.3794377498545</v>
      </c>
      <c r="K586" s="8">
        <v>0</v>
      </c>
      <c r="L586" s="8">
        <v>0</v>
      </c>
      <c r="M586" s="8">
        <v>0</v>
      </c>
    </row>
    <row r="587" spans="1:13">
      <c r="A587" s="8" t="s">
        <v>227</v>
      </c>
      <c r="B587" s="8" t="s">
        <v>200</v>
      </c>
      <c r="C587" s="8" t="s">
        <v>95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</row>
    <row r="588" spans="1:13">
      <c r="A588" s="8" t="s">
        <v>227</v>
      </c>
      <c r="B588" s="8" t="s">
        <v>200</v>
      </c>
      <c r="C588" s="8" t="s">
        <v>93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>
      <c r="A589" s="8" t="s">
        <v>227</v>
      </c>
      <c r="B589" s="8" t="s">
        <v>200</v>
      </c>
      <c r="C589" s="8" t="s">
        <v>96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</row>
    <row r="590" spans="1:13">
      <c r="A590" s="8" t="s">
        <v>227</v>
      </c>
      <c r="B590" s="8" t="s">
        <v>200</v>
      </c>
      <c r="C590" s="8" t="s">
        <v>94</v>
      </c>
      <c r="D590" s="8">
        <v>0</v>
      </c>
      <c r="E590" s="8">
        <v>0</v>
      </c>
      <c r="F590" s="8">
        <v>2.42271847017985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1.30052372303388</v>
      </c>
    </row>
    <row r="591" spans="1:13">
      <c r="A591" s="8" t="s">
        <v>227</v>
      </c>
      <c r="B591" s="8" t="s">
        <v>201</v>
      </c>
      <c r="C591" s="8" t="s">
        <v>202</v>
      </c>
      <c r="D591" s="8">
        <v>0</v>
      </c>
      <c r="E591" s="8">
        <v>0</v>
      </c>
      <c r="F591" s="8">
        <v>0</v>
      </c>
      <c r="G591" s="8">
        <v>0</v>
      </c>
      <c r="H591" s="8">
        <v>2.18627857351203</v>
      </c>
      <c r="I591" s="8">
        <v>0</v>
      </c>
      <c r="J591" s="8">
        <v>0</v>
      </c>
      <c r="K591" s="8">
        <v>0</v>
      </c>
      <c r="L591" s="8">
        <v>1.30734809304613</v>
      </c>
      <c r="M591" s="8">
        <v>0</v>
      </c>
    </row>
    <row r="593" spans="1:17">
      <c r="N593" s="11" t="s">
        <v>203</v>
      </c>
      <c r="O593" s="11" t="s">
        <v>203</v>
      </c>
      <c r="P593" s="11" t="s">
        <v>204</v>
      </c>
      <c r="Q593" s="11" t="s">
        <v>204</v>
      </c>
    </row>
    <row r="594" spans="1:17">
      <c r="B594" s="8" t="s">
        <v>227</v>
      </c>
      <c r="C594" s="8" t="s">
        <v>188</v>
      </c>
      <c r="D594" s="8">
        <f t="shared" ref="D594:M594" si="267">D577</f>
        <v>0</v>
      </c>
      <c r="E594" s="8">
        <f t="shared" si="267"/>
        <v>0</v>
      </c>
      <c r="F594" s="8">
        <f t="shared" si="267"/>
        <v>0</v>
      </c>
      <c r="G594" s="8">
        <f t="shared" si="267"/>
        <v>0</v>
      </c>
      <c r="H594" s="8">
        <f t="shared" si="267"/>
        <v>0</v>
      </c>
      <c r="I594" s="8">
        <f t="shared" si="267"/>
        <v>0</v>
      </c>
      <c r="J594" s="8">
        <f t="shared" si="267"/>
        <v>0</v>
      </c>
      <c r="K594" s="8">
        <f t="shared" si="267"/>
        <v>0</v>
      </c>
      <c r="L594" s="8">
        <f t="shared" si="267"/>
        <v>0</v>
      </c>
      <c r="M594" s="8">
        <f t="shared" si="267"/>
        <v>0</v>
      </c>
      <c r="N594" s="8">
        <f t="shared" ref="N594:N601" si="268">AVERAGE(D594:H594)</f>
        <v>0</v>
      </c>
      <c r="O594" s="8">
        <f t="shared" ref="O594:O601" si="269">AVERAGE(I594:M594)</f>
        <v>0</v>
      </c>
      <c r="P594" s="8">
        <f t="shared" ref="P594:P601" si="270">LOG(N594+1,2)</f>
        <v>0</v>
      </c>
      <c r="Q594" s="8">
        <f t="shared" ref="Q594:Q601" si="271">LOG(O594+1,2)</f>
        <v>0</v>
      </c>
    </row>
    <row r="595" spans="1:17">
      <c r="B595" s="8" t="s">
        <v>227</v>
      </c>
      <c r="C595" s="8" t="s">
        <v>190</v>
      </c>
      <c r="D595" s="8">
        <f t="shared" ref="D595:M595" si="272">D578</f>
        <v>0</v>
      </c>
      <c r="E595" s="8">
        <f t="shared" si="272"/>
        <v>0</v>
      </c>
      <c r="F595" s="8">
        <f t="shared" si="272"/>
        <v>0</v>
      </c>
      <c r="G595" s="8">
        <f t="shared" si="272"/>
        <v>0</v>
      </c>
      <c r="H595" s="8">
        <f t="shared" si="272"/>
        <v>0</v>
      </c>
      <c r="I595" s="8">
        <f t="shared" si="272"/>
        <v>0</v>
      </c>
      <c r="J595" s="8">
        <f t="shared" si="272"/>
        <v>0</v>
      </c>
      <c r="K595" s="8">
        <f t="shared" si="272"/>
        <v>0</v>
      </c>
      <c r="L595" s="8">
        <f t="shared" si="272"/>
        <v>0</v>
      </c>
      <c r="M595" s="8">
        <f t="shared" si="272"/>
        <v>0</v>
      </c>
      <c r="N595" s="8">
        <f t="shared" si="268"/>
        <v>0</v>
      </c>
      <c r="O595" s="8">
        <f t="shared" si="269"/>
        <v>0</v>
      </c>
      <c r="P595" s="8">
        <f t="shared" si="270"/>
        <v>0</v>
      </c>
      <c r="Q595" s="8">
        <f t="shared" si="271"/>
        <v>0</v>
      </c>
    </row>
    <row r="596" spans="1:17">
      <c r="B596" s="8" t="s">
        <v>227</v>
      </c>
      <c r="C596" s="8" t="s">
        <v>192</v>
      </c>
      <c r="D596" s="8">
        <f t="shared" ref="D596:M596" si="273">D579+D580</f>
        <v>0</v>
      </c>
      <c r="E596" s="8">
        <f t="shared" si="273"/>
        <v>0</v>
      </c>
      <c r="F596" s="8">
        <f t="shared" si="273"/>
        <v>0</v>
      </c>
      <c r="G596" s="8">
        <f t="shared" si="273"/>
        <v>0</v>
      </c>
      <c r="H596" s="8">
        <f t="shared" si="273"/>
        <v>0</v>
      </c>
      <c r="I596" s="8">
        <f t="shared" si="273"/>
        <v>0</v>
      </c>
      <c r="J596" s="8">
        <f t="shared" si="273"/>
        <v>0</v>
      </c>
      <c r="K596" s="8">
        <f t="shared" si="273"/>
        <v>0</v>
      </c>
      <c r="L596" s="8">
        <f t="shared" si="273"/>
        <v>0</v>
      </c>
      <c r="M596" s="8">
        <f t="shared" si="273"/>
        <v>0</v>
      </c>
      <c r="N596" s="8">
        <f t="shared" si="268"/>
        <v>0</v>
      </c>
      <c r="O596" s="8">
        <f t="shared" si="269"/>
        <v>0</v>
      </c>
      <c r="P596" s="8">
        <f t="shared" si="270"/>
        <v>0</v>
      </c>
      <c r="Q596" s="8">
        <f t="shared" si="271"/>
        <v>0</v>
      </c>
    </row>
    <row r="597" spans="1:17">
      <c r="B597" s="8" t="s">
        <v>227</v>
      </c>
      <c r="C597" s="8" t="s">
        <v>195</v>
      </c>
      <c r="D597" s="8">
        <f t="shared" ref="D597:M597" si="274">SUM(D581:D582)</f>
        <v>0</v>
      </c>
      <c r="E597" s="8">
        <f t="shared" si="274"/>
        <v>0</v>
      </c>
      <c r="F597" s="8">
        <f t="shared" si="274"/>
        <v>1.17423299836379</v>
      </c>
      <c r="G597" s="8">
        <f t="shared" si="274"/>
        <v>0</v>
      </c>
      <c r="H597" s="8">
        <f t="shared" si="274"/>
        <v>12.750102580218</v>
      </c>
      <c r="I597" s="8">
        <f t="shared" si="274"/>
        <v>0</v>
      </c>
      <c r="J597" s="8">
        <f t="shared" si="274"/>
        <v>0</v>
      </c>
      <c r="K597" s="8">
        <f t="shared" si="274"/>
        <v>0</v>
      </c>
      <c r="L597" s="8">
        <f t="shared" si="274"/>
        <v>0</v>
      </c>
      <c r="M597" s="8">
        <f t="shared" si="274"/>
        <v>1.13101392170024</v>
      </c>
      <c r="N597" s="8">
        <f t="shared" si="268"/>
        <v>2.78486711571636</v>
      </c>
      <c r="O597" s="8">
        <f t="shared" si="269"/>
        <v>0.226202784340049</v>
      </c>
      <c r="P597" s="8">
        <f t="shared" si="270"/>
        <v>1.9202426489924</v>
      </c>
      <c r="Q597" s="8">
        <f t="shared" si="271"/>
        <v>0.294197585692298</v>
      </c>
    </row>
    <row r="598" spans="1:17">
      <c r="B598" s="8" t="s">
        <v>227</v>
      </c>
      <c r="C598" s="8" t="s">
        <v>198</v>
      </c>
      <c r="D598" s="8">
        <f t="shared" ref="D598:M598" si="275">D583</f>
        <v>0</v>
      </c>
      <c r="E598" s="8">
        <f t="shared" si="275"/>
        <v>0.902123262871895</v>
      </c>
      <c r="F598" s="8">
        <f t="shared" si="275"/>
        <v>0</v>
      </c>
      <c r="G598" s="8">
        <f t="shared" si="275"/>
        <v>5.07603488483532</v>
      </c>
      <c r="H598" s="8">
        <f t="shared" si="275"/>
        <v>0</v>
      </c>
      <c r="I598" s="8">
        <f t="shared" si="275"/>
        <v>0</v>
      </c>
      <c r="J598" s="8">
        <f t="shared" si="275"/>
        <v>0</v>
      </c>
      <c r="K598" s="8">
        <f t="shared" si="275"/>
        <v>0</v>
      </c>
      <c r="L598" s="8">
        <f t="shared" si="275"/>
        <v>34.8441432980008</v>
      </c>
      <c r="M598" s="8">
        <f t="shared" si="275"/>
        <v>0</v>
      </c>
      <c r="N598" s="8">
        <f t="shared" si="268"/>
        <v>1.19563162954144</v>
      </c>
      <c r="O598" s="8">
        <f t="shared" si="269"/>
        <v>6.96882865960016</v>
      </c>
      <c r="P598" s="8">
        <f t="shared" si="270"/>
        <v>1.13463602756134</v>
      </c>
      <c r="Q598" s="8">
        <f t="shared" si="271"/>
        <v>2.9943676776438</v>
      </c>
    </row>
    <row r="599" spans="1:17">
      <c r="B599" s="8" t="s">
        <v>227</v>
      </c>
      <c r="C599" s="8" t="s">
        <v>36</v>
      </c>
      <c r="D599" s="8">
        <f t="shared" ref="D599:M599" si="276">D584</f>
        <v>0</v>
      </c>
      <c r="E599" s="8">
        <f t="shared" si="276"/>
        <v>0</v>
      </c>
      <c r="F599" s="8">
        <f t="shared" si="276"/>
        <v>0</v>
      </c>
      <c r="G599" s="8">
        <f t="shared" si="276"/>
        <v>0</v>
      </c>
      <c r="H599" s="8">
        <f t="shared" si="276"/>
        <v>24.448428857959</v>
      </c>
      <c r="I599" s="8">
        <f t="shared" si="276"/>
        <v>0</v>
      </c>
      <c r="J599" s="8">
        <f t="shared" si="276"/>
        <v>1.17709544564557</v>
      </c>
      <c r="K599" s="8">
        <f t="shared" si="276"/>
        <v>0</v>
      </c>
      <c r="L599" s="8">
        <f t="shared" si="276"/>
        <v>0</v>
      </c>
      <c r="M599" s="8">
        <f t="shared" si="276"/>
        <v>0</v>
      </c>
      <c r="N599" s="8">
        <f t="shared" si="268"/>
        <v>4.88968577159181</v>
      </c>
      <c r="O599" s="8">
        <f t="shared" si="269"/>
        <v>0.235419089129114</v>
      </c>
      <c r="P599" s="8">
        <f t="shared" si="270"/>
        <v>2.55819066497946</v>
      </c>
      <c r="Q599" s="8">
        <f t="shared" si="271"/>
        <v>0.305000527838234</v>
      </c>
    </row>
    <row r="600" spans="1:17">
      <c r="B600" s="8" t="s">
        <v>227</v>
      </c>
      <c r="C600" s="8" t="s">
        <v>200</v>
      </c>
      <c r="D600" s="8">
        <f t="shared" ref="D600:M600" si="277">SUM(D585:D590)</f>
        <v>0</v>
      </c>
      <c r="E600" s="8">
        <f t="shared" si="277"/>
        <v>0</v>
      </c>
      <c r="F600" s="8">
        <f t="shared" si="277"/>
        <v>2.42271847017985</v>
      </c>
      <c r="G600" s="8">
        <f t="shared" si="277"/>
        <v>0</v>
      </c>
      <c r="H600" s="8">
        <f t="shared" si="277"/>
        <v>0</v>
      </c>
      <c r="I600" s="8">
        <f t="shared" si="277"/>
        <v>0</v>
      </c>
      <c r="J600" s="8">
        <f t="shared" si="277"/>
        <v>4.3794377498545</v>
      </c>
      <c r="K600" s="8">
        <f t="shared" si="277"/>
        <v>0</v>
      </c>
      <c r="L600" s="8">
        <f t="shared" si="277"/>
        <v>0</v>
      </c>
      <c r="M600" s="8">
        <f t="shared" si="277"/>
        <v>1.30052372303388</v>
      </c>
      <c r="N600" s="8">
        <f t="shared" si="268"/>
        <v>0.48454369403597</v>
      </c>
      <c r="O600" s="8">
        <f t="shared" si="269"/>
        <v>1.13599229457768</v>
      </c>
      <c r="P600" s="8">
        <f t="shared" si="270"/>
        <v>0.570019556269214</v>
      </c>
      <c r="Q600" s="8">
        <f t="shared" si="271"/>
        <v>1.09490644262723</v>
      </c>
    </row>
    <row r="601" spans="1:17">
      <c r="B601" s="8" t="s">
        <v>227</v>
      </c>
      <c r="C601" s="8" t="s">
        <v>201</v>
      </c>
      <c r="D601" s="8">
        <f t="shared" ref="D601:M601" si="278">D591</f>
        <v>0</v>
      </c>
      <c r="E601" s="8">
        <f t="shared" si="278"/>
        <v>0</v>
      </c>
      <c r="F601" s="8">
        <f t="shared" si="278"/>
        <v>0</v>
      </c>
      <c r="G601" s="8">
        <f t="shared" si="278"/>
        <v>0</v>
      </c>
      <c r="H601" s="8">
        <f t="shared" si="278"/>
        <v>2.18627857351203</v>
      </c>
      <c r="I601" s="8">
        <f t="shared" si="278"/>
        <v>0</v>
      </c>
      <c r="J601" s="8">
        <f t="shared" si="278"/>
        <v>0</v>
      </c>
      <c r="K601" s="8">
        <f t="shared" si="278"/>
        <v>0</v>
      </c>
      <c r="L601" s="8">
        <f t="shared" si="278"/>
        <v>1.30734809304613</v>
      </c>
      <c r="M601" s="8">
        <f t="shared" si="278"/>
        <v>0</v>
      </c>
      <c r="N601" s="8">
        <f t="shared" si="268"/>
        <v>0.437255714702406</v>
      </c>
      <c r="O601" s="8">
        <f t="shared" si="269"/>
        <v>0.261469618609226</v>
      </c>
      <c r="P601" s="8">
        <f t="shared" si="270"/>
        <v>0.523316767092645</v>
      </c>
      <c r="Q601" s="8">
        <f t="shared" si="271"/>
        <v>0.335105460686297</v>
      </c>
    </row>
    <row r="604" spans="1:17">
      <c r="A604" s="8" t="s">
        <v>228</v>
      </c>
      <c r="B604" s="8" t="s">
        <v>188</v>
      </c>
      <c r="C604" s="8" t="s">
        <v>189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 spans="1:17">
      <c r="A605" s="8" t="s">
        <v>228</v>
      </c>
      <c r="B605" s="8" t="s">
        <v>190</v>
      </c>
      <c r="C605" s="8" t="s">
        <v>191</v>
      </c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 spans="1:17">
      <c r="A606" s="8" t="s">
        <v>228</v>
      </c>
      <c r="B606" s="8" t="s">
        <v>192</v>
      </c>
      <c r="C606" s="8" t="s">
        <v>193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 spans="1:17">
      <c r="A607" s="8" t="s">
        <v>228</v>
      </c>
      <c r="B607" s="8" t="s">
        <v>192</v>
      </c>
      <c r="C607" s="8" t="s">
        <v>194</v>
      </c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 spans="1:17">
      <c r="A608" s="8" t="s">
        <v>228</v>
      </c>
      <c r="B608" s="8" t="s">
        <v>195</v>
      </c>
      <c r="C608" s="8" t="s">
        <v>196</v>
      </c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 spans="1:17">
      <c r="A609" s="8" t="s">
        <v>228</v>
      </c>
      <c r="B609" s="8" t="s">
        <v>195</v>
      </c>
      <c r="C609" s="8" t="s">
        <v>197</v>
      </c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 spans="1:17">
      <c r="A610" s="8" t="s">
        <v>228</v>
      </c>
      <c r="B610" s="8" t="s">
        <v>198</v>
      </c>
      <c r="C610" s="8" t="s">
        <v>199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 spans="1:17">
      <c r="A611" s="8" t="s">
        <v>228</v>
      </c>
      <c r="B611" s="8" t="s">
        <v>36</v>
      </c>
      <c r="C611" s="8" t="s">
        <v>130</v>
      </c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 spans="1:17">
      <c r="A612" s="8" t="s">
        <v>228</v>
      </c>
      <c r="B612" s="8" t="s">
        <v>200</v>
      </c>
      <c r="C612" s="8" t="s">
        <v>97</v>
      </c>
      <c r="D612" s="8">
        <v>0</v>
      </c>
      <c r="E612" s="8">
        <v>0</v>
      </c>
      <c r="F612" s="8">
        <v>0</v>
      </c>
      <c r="G612" s="8">
        <v>8.63471820248337</v>
      </c>
      <c r="H612" s="8">
        <v>0</v>
      </c>
      <c r="I612" s="8">
        <v>0</v>
      </c>
      <c r="J612" s="8">
        <v>0</v>
      </c>
      <c r="K612" s="8">
        <v>5.57694479836183</v>
      </c>
      <c r="L612" s="8">
        <v>14.7547033354869</v>
      </c>
      <c r="M612" s="8">
        <v>0</v>
      </c>
    </row>
    <row r="613" spans="1:17">
      <c r="A613" s="8" t="s">
        <v>228</v>
      </c>
      <c r="B613" s="8" t="s">
        <v>200</v>
      </c>
      <c r="C613" s="8" t="s">
        <v>98</v>
      </c>
      <c r="D613" s="8">
        <v>0</v>
      </c>
      <c r="E613" s="8">
        <v>9.58827448156408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6.48824098897825</v>
      </c>
      <c r="M613" s="8">
        <v>0</v>
      </c>
    </row>
    <row r="614" spans="1:17">
      <c r="A614" s="8" t="s">
        <v>228</v>
      </c>
      <c r="B614" s="8" t="s">
        <v>200</v>
      </c>
      <c r="C614" s="8" t="s">
        <v>95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7.78031798955501</v>
      </c>
      <c r="L614" s="8">
        <v>0</v>
      </c>
      <c r="M614" s="8">
        <v>0</v>
      </c>
    </row>
    <row r="615" spans="1:17">
      <c r="A615" s="8" t="s">
        <v>228</v>
      </c>
      <c r="B615" s="8" t="s">
        <v>200</v>
      </c>
      <c r="C615" s="8" t="s">
        <v>93</v>
      </c>
      <c r="D615" s="8">
        <v>0</v>
      </c>
      <c r="E615" s="8">
        <v>0</v>
      </c>
      <c r="F615" s="8">
        <v>0</v>
      </c>
      <c r="G615" s="8">
        <v>7.41702552947574</v>
      </c>
      <c r="H615" s="8">
        <v>0</v>
      </c>
      <c r="I615" s="8">
        <v>0</v>
      </c>
      <c r="J615" s="8">
        <v>0</v>
      </c>
      <c r="K615" s="8">
        <v>0</v>
      </c>
      <c r="L615" s="8">
        <v>7.68566849481498</v>
      </c>
      <c r="M615" s="8">
        <v>5.06084426362526</v>
      </c>
    </row>
    <row r="616" spans="1:17">
      <c r="A616" s="8" t="s">
        <v>228</v>
      </c>
      <c r="B616" s="8" t="s">
        <v>200</v>
      </c>
      <c r="C616" s="8" t="s">
        <v>96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</row>
    <row r="617" spans="1:17">
      <c r="A617" s="8" t="s">
        <v>228</v>
      </c>
      <c r="B617" s="8" t="s">
        <v>200</v>
      </c>
      <c r="C617" s="8" t="s">
        <v>94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6.85057171442134</v>
      </c>
      <c r="J617" s="8">
        <v>0</v>
      </c>
      <c r="K617" s="8">
        <v>0</v>
      </c>
      <c r="L617" s="8">
        <v>3.5531200585179</v>
      </c>
      <c r="M617" s="8">
        <v>0</v>
      </c>
    </row>
    <row r="618" spans="1:17">
      <c r="A618" s="8" t="s">
        <v>228</v>
      </c>
      <c r="B618" s="8" t="s">
        <v>201</v>
      </c>
      <c r="C618" s="8" t="s">
        <v>202</v>
      </c>
      <c r="D618" s="8">
        <v>0</v>
      </c>
      <c r="E618" s="8">
        <v>0</v>
      </c>
      <c r="F618" s="8">
        <v>0</v>
      </c>
      <c r="G618" s="8">
        <v>3.82471016563739</v>
      </c>
      <c r="H618" s="8">
        <v>0</v>
      </c>
      <c r="I618" s="8">
        <v>0</v>
      </c>
      <c r="J618" s="8">
        <v>0</v>
      </c>
      <c r="K618" s="8">
        <v>0</v>
      </c>
      <c r="L618" s="8">
        <v>8.10560257940238</v>
      </c>
      <c r="M618" s="8">
        <v>0</v>
      </c>
    </row>
    <row r="620" spans="1:17">
      <c r="N620" s="11" t="s">
        <v>203</v>
      </c>
      <c r="O620" s="11" t="s">
        <v>203</v>
      </c>
      <c r="P620" s="11" t="s">
        <v>204</v>
      </c>
      <c r="Q620" s="11" t="s">
        <v>204</v>
      </c>
    </row>
    <row r="621" spans="1:17">
      <c r="B621" s="8" t="s">
        <v>228</v>
      </c>
      <c r="C621" s="8" t="s">
        <v>188</v>
      </c>
      <c r="D621" s="8">
        <f t="shared" ref="D621:M621" si="279">D604</f>
        <v>0</v>
      </c>
      <c r="E621" s="8">
        <f t="shared" si="279"/>
        <v>0</v>
      </c>
      <c r="F621" s="8">
        <f t="shared" si="279"/>
        <v>0</v>
      </c>
      <c r="G621" s="8">
        <f t="shared" si="279"/>
        <v>0</v>
      </c>
      <c r="H621" s="8">
        <f t="shared" si="279"/>
        <v>0</v>
      </c>
      <c r="I621" s="8">
        <f t="shared" si="279"/>
        <v>0</v>
      </c>
      <c r="J621" s="8">
        <f t="shared" si="279"/>
        <v>0</v>
      </c>
      <c r="K621" s="8">
        <f t="shared" si="279"/>
        <v>0</v>
      </c>
      <c r="L621" s="8">
        <f t="shared" si="279"/>
        <v>0</v>
      </c>
      <c r="M621" s="8">
        <f t="shared" si="279"/>
        <v>0</v>
      </c>
      <c r="N621" s="8">
        <f t="shared" ref="N621:N628" si="280">AVERAGE(D621:H621)</f>
        <v>0</v>
      </c>
      <c r="O621" s="8">
        <f t="shared" ref="O621:O628" si="281">AVERAGE(I621:M621)</f>
        <v>0</v>
      </c>
      <c r="P621" s="8">
        <f t="shared" ref="P621:P628" si="282">LOG(N621+1,2)</f>
        <v>0</v>
      </c>
      <c r="Q621" s="8">
        <f t="shared" ref="Q621:Q628" si="283">LOG(O621+1,2)</f>
        <v>0</v>
      </c>
    </row>
    <row r="622" spans="1:17">
      <c r="B622" s="8" t="s">
        <v>228</v>
      </c>
      <c r="C622" s="8" t="s">
        <v>190</v>
      </c>
      <c r="D622" s="8">
        <f t="shared" ref="D622:M622" si="284">D605</f>
        <v>0</v>
      </c>
      <c r="E622" s="8">
        <f t="shared" si="284"/>
        <v>0</v>
      </c>
      <c r="F622" s="8">
        <f t="shared" si="284"/>
        <v>0</v>
      </c>
      <c r="G622" s="8">
        <f t="shared" si="284"/>
        <v>0</v>
      </c>
      <c r="H622" s="8">
        <f t="shared" si="284"/>
        <v>0</v>
      </c>
      <c r="I622" s="8">
        <f t="shared" si="284"/>
        <v>0</v>
      </c>
      <c r="J622" s="8">
        <f t="shared" si="284"/>
        <v>0</v>
      </c>
      <c r="K622" s="8">
        <f t="shared" si="284"/>
        <v>0</v>
      </c>
      <c r="L622" s="8">
        <f t="shared" si="284"/>
        <v>0</v>
      </c>
      <c r="M622" s="8">
        <f t="shared" si="284"/>
        <v>0</v>
      </c>
      <c r="N622" s="8">
        <f t="shared" si="280"/>
        <v>0</v>
      </c>
      <c r="O622" s="8">
        <f t="shared" si="281"/>
        <v>0</v>
      </c>
      <c r="P622" s="8">
        <f t="shared" si="282"/>
        <v>0</v>
      </c>
      <c r="Q622" s="8">
        <f t="shared" si="283"/>
        <v>0</v>
      </c>
    </row>
    <row r="623" spans="1:17">
      <c r="B623" s="8" t="s">
        <v>228</v>
      </c>
      <c r="C623" s="8" t="s">
        <v>192</v>
      </c>
      <c r="D623" s="8">
        <f t="shared" ref="D623:M623" si="285">D606+D607</f>
        <v>0</v>
      </c>
      <c r="E623" s="8">
        <f t="shared" si="285"/>
        <v>0</v>
      </c>
      <c r="F623" s="8">
        <f t="shared" si="285"/>
        <v>0</v>
      </c>
      <c r="G623" s="8">
        <f t="shared" si="285"/>
        <v>0</v>
      </c>
      <c r="H623" s="8">
        <f t="shared" si="285"/>
        <v>0</v>
      </c>
      <c r="I623" s="8">
        <f t="shared" si="285"/>
        <v>0</v>
      </c>
      <c r="J623" s="8">
        <f t="shared" si="285"/>
        <v>0</v>
      </c>
      <c r="K623" s="8">
        <f t="shared" si="285"/>
        <v>0</v>
      </c>
      <c r="L623" s="8">
        <f t="shared" si="285"/>
        <v>0</v>
      </c>
      <c r="M623" s="8">
        <f t="shared" si="285"/>
        <v>0</v>
      </c>
      <c r="N623" s="8">
        <f t="shared" si="280"/>
        <v>0</v>
      </c>
      <c r="O623" s="8">
        <f t="shared" si="281"/>
        <v>0</v>
      </c>
      <c r="P623" s="8">
        <f t="shared" si="282"/>
        <v>0</v>
      </c>
      <c r="Q623" s="8">
        <f t="shared" si="283"/>
        <v>0</v>
      </c>
    </row>
    <row r="624" spans="1:17">
      <c r="B624" s="8" t="s">
        <v>228</v>
      </c>
      <c r="C624" s="8" t="s">
        <v>195</v>
      </c>
      <c r="D624" s="8">
        <f t="shared" ref="D624:M624" si="286">SUM(D608:D609)</f>
        <v>0</v>
      </c>
      <c r="E624" s="8">
        <f t="shared" si="286"/>
        <v>0</v>
      </c>
      <c r="F624" s="8">
        <f t="shared" si="286"/>
        <v>0</v>
      </c>
      <c r="G624" s="8">
        <f t="shared" si="286"/>
        <v>0</v>
      </c>
      <c r="H624" s="8">
        <f t="shared" si="286"/>
        <v>0</v>
      </c>
      <c r="I624" s="8">
        <f t="shared" si="286"/>
        <v>0</v>
      </c>
      <c r="J624" s="8">
        <f t="shared" si="286"/>
        <v>0</v>
      </c>
      <c r="K624" s="8">
        <f t="shared" si="286"/>
        <v>0</v>
      </c>
      <c r="L624" s="8">
        <f t="shared" si="286"/>
        <v>0</v>
      </c>
      <c r="M624" s="8">
        <f t="shared" si="286"/>
        <v>0</v>
      </c>
      <c r="N624" s="8">
        <f t="shared" si="280"/>
        <v>0</v>
      </c>
      <c r="O624" s="8">
        <f t="shared" si="281"/>
        <v>0</v>
      </c>
      <c r="P624" s="8">
        <f t="shared" si="282"/>
        <v>0</v>
      </c>
      <c r="Q624" s="8">
        <f t="shared" si="283"/>
        <v>0</v>
      </c>
    </row>
    <row r="625" spans="1:17">
      <c r="B625" s="8" t="s">
        <v>228</v>
      </c>
      <c r="C625" s="8" t="s">
        <v>198</v>
      </c>
      <c r="D625" s="8">
        <f t="shared" ref="D625:M625" si="287">D610</f>
        <v>0</v>
      </c>
      <c r="E625" s="8">
        <f t="shared" si="287"/>
        <v>0</v>
      </c>
      <c r="F625" s="8">
        <f t="shared" si="287"/>
        <v>0</v>
      </c>
      <c r="G625" s="8">
        <f t="shared" si="287"/>
        <v>0</v>
      </c>
      <c r="H625" s="8">
        <f t="shared" si="287"/>
        <v>0</v>
      </c>
      <c r="I625" s="8">
        <f t="shared" si="287"/>
        <v>0</v>
      </c>
      <c r="J625" s="8">
        <f t="shared" si="287"/>
        <v>0</v>
      </c>
      <c r="K625" s="8">
        <f t="shared" si="287"/>
        <v>0</v>
      </c>
      <c r="L625" s="8">
        <f t="shared" si="287"/>
        <v>0</v>
      </c>
      <c r="M625" s="8">
        <f t="shared" si="287"/>
        <v>0</v>
      </c>
      <c r="N625" s="8">
        <f t="shared" si="280"/>
        <v>0</v>
      </c>
      <c r="O625" s="8">
        <f t="shared" si="281"/>
        <v>0</v>
      </c>
      <c r="P625" s="8">
        <f t="shared" si="282"/>
        <v>0</v>
      </c>
      <c r="Q625" s="8">
        <f t="shared" si="283"/>
        <v>0</v>
      </c>
    </row>
    <row r="626" spans="1:17">
      <c r="B626" s="8" t="s">
        <v>228</v>
      </c>
      <c r="C626" s="8" t="s">
        <v>36</v>
      </c>
      <c r="D626" s="8">
        <f t="shared" ref="D626:M626" si="288">D611</f>
        <v>0</v>
      </c>
      <c r="E626" s="8">
        <f t="shared" si="288"/>
        <v>0</v>
      </c>
      <c r="F626" s="8">
        <f t="shared" si="288"/>
        <v>0</v>
      </c>
      <c r="G626" s="8">
        <f t="shared" si="288"/>
        <v>0</v>
      </c>
      <c r="H626" s="8">
        <f t="shared" si="288"/>
        <v>0</v>
      </c>
      <c r="I626" s="8">
        <f t="shared" si="288"/>
        <v>0</v>
      </c>
      <c r="J626" s="8">
        <f t="shared" si="288"/>
        <v>0</v>
      </c>
      <c r="K626" s="8">
        <f t="shared" si="288"/>
        <v>0</v>
      </c>
      <c r="L626" s="8">
        <f t="shared" si="288"/>
        <v>0</v>
      </c>
      <c r="M626" s="8">
        <f t="shared" si="288"/>
        <v>0</v>
      </c>
      <c r="N626" s="8">
        <f t="shared" si="280"/>
        <v>0</v>
      </c>
      <c r="O626" s="8">
        <f t="shared" si="281"/>
        <v>0</v>
      </c>
      <c r="P626" s="8">
        <f t="shared" si="282"/>
        <v>0</v>
      </c>
      <c r="Q626" s="8">
        <f t="shared" si="283"/>
        <v>0</v>
      </c>
    </row>
    <row r="627" spans="1:17">
      <c r="B627" s="8" t="s">
        <v>228</v>
      </c>
      <c r="C627" s="8" t="s">
        <v>200</v>
      </c>
      <c r="D627" s="8">
        <f t="shared" ref="D627:M627" si="289">SUM(D612:D617)</f>
        <v>0</v>
      </c>
      <c r="E627" s="8">
        <f t="shared" si="289"/>
        <v>9.58827448156408</v>
      </c>
      <c r="F627" s="8">
        <f t="shared" si="289"/>
        <v>0</v>
      </c>
      <c r="G627" s="8">
        <f t="shared" si="289"/>
        <v>16.0517437319591</v>
      </c>
      <c r="H627" s="8">
        <f t="shared" si="289"/>
        <v>0</v>
      </c>
      <c r="I627" s="8">
        <f t="shared" si="289"/>
        <v>6.85057171442134</v>
      </c>
      <c r="J627" s="8">
        <f t="shared" si="289"/>
        <v>0</v>
      </c>
      <c r="K627" s="8">
        <f t="shared" si="289"/>
        <v>13.3572627879168</v>
      </c>
      <c r="L627" s="8">
        <f t="shared" si="289"/>
        <v>32.481732877798</v>
      </c>
      <c r="M627" s="8">
        <f t="shared" si="289"/>
        <v>5.06084426362526</v>
      </c>
      <c r="N627" s="8">
        <f t="shared" si="280"/>
        <v>5.12800364270464</v>
      </c>
      <c r="O627" s="8">
        <f t="shared" si="281"/>
        <v>11.5500823287523</v>
      </c>
      <c r="P627" s="8">
        <f t="shared" si="282"/>
        <v>2.61541715485268</v>
      </c>
      <c r="Q627" s="8">
        <f t="shared" si="283"/>
        <v>3.64962492319832</v>
      </c>
    </row>
    <row r="628" spans="1:17">
      <c r="B628" s="8" t="s">
        <v>228</v>
      </c>
      <c r="C628" s="8" t="s">
        <v>201</v>
      </c>
      <c r="D628" s="8">
        <f t="shared" ref="D628:M628" si="290">D618</f>
        <v>0</v>
      </c>
      <c r="E628" s="8">
        <f t="shared" si="290"/>
        <v>0</v>
      </c>
      <c r="F628" s="8">
        <f t="shared" si="290"/>
        <v>0</v>
      </c>
      <c r="G628" s="8">
        <f t="shared" si="290"/>
        <v>3.82471016563739</v>
      </c>
      <c r="H628" s="8">
        <f t="shared" si="290"/>
        <v>0</v>
      </c>
      <c r="I628" s="8">
        <f t="shared" si="290"/>
        <v>0</v>
      </c>
      <c r="J628" s="8">
        <f t="shared" si="290"/>
        <v>0</v>
      </c>
      <c r="K628" s="8">
        <f t="shared" si="290"/>
        <v>0</v>
      </c>
      <c r="L628" s="8">
        <f t="shared" si="290"/>
        <v>8.10560257940238</v>
      </c>
      <c r="M628" s="8">
        <f t="shared" si="290"/>
        <v>0</v>
      </c>
      <c r="N628" s="8">
        <f t="shared" si="280"/>
        <v>0.764942033127477</v>
      </c>
      <c r="O628" s="8">
        <f t="shared" si="281"/>
        <v>1.62112051588048</v>
      </c>
      <c r="P628" s="8">
        <f t="shared" si="282"/>
        <v>0.819620801120911</v>
      </c>
      <c r="Q628" s="8">
        <f t="shared" si="283"/>
        <v>1.39018368852552</v>
      </c>
    </row>
    <row r="631" spans="1:17">
      <c r="A631" s="8" t="s">
        <v>229</v>
      </c>
      <c r="B631" s="8" t="s">
        <v>188</v>
      </c>
      <c r="C631" s="8" t="s">
        <v>189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</row>
    <row r="632" spans="1:17">
      <c r="A632" s="8" t="s">
        <v>229</v>
      </c>
      <c r="B632" s="8" t="s">
        <v>190</v>
      </c>
      <c r="C632" s="8" t="s">
        <v>191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</row>
    <row r="633" spans="1:17">
      <c r="A633" s="8" t="s">
        <v>229</v>
      </c>
      <c r="B633" s="8" t="s">
        <v>192</v>
      </c>
      <c r="C633" s="8" t="s">
        <v>193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</row>
    <row r="634" spans="1:17">
      <c r="A634" s="8" t="s">
        <v>229</v>
      </c>
      <c r="B634" s="8" t="s">
        <v>192</v>
      </c>
      <c r="C634" s="8" t="s">
        <v>194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</row>
    <row r="635" spans="1:17">
      <c r="A635" s="8" t="s">
        <v>229</v>
      </c>
      <c r="B635" s="8" t="s">
        <v>195</v>
      </c>
      <c r="C635" s="8" t="s">
        <v>196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</row>
    <row r="636" spans="1:17">
      <c r="A636" s="8" t="s">
        <v>229</v>
      </c>
      <c r="B636" s="8" t="s">
        <v>195</v>
      </c>
      <c r="C636" s="8" t="s">
        <v>197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</row>
    <row r="637" spans="1:17">
      <c r="A637" s="8" t="s">
        <v>229</v>
      </c>
      <c r="B637" s="8" t="s">
        <v>198</v>
      </c>
      <c r="C637" s="8" t="s">
        <v>199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</row>
    <row r="638" spans="1:17">
      <c r="A638" s="8" t="s">
        <v>229</v>
      </c>
      <c r="B638" s="8" t="s">
        <v>36</v>
      </c>
      <c r="C638" s="8" t="s">
        <v>130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</row>
    <row r="639" spans="1:17">
      <c r="A639" s="8" t="s">
        <v>229</v>
      </c>
      <c r="B639" s="8" t="s">
        <v>200</v>
      </c>
      <c r="C639" s="8" t="s">
        <v>97</v>
      </c>
      <c r="D639" s="8">
        <v>0</v>
      </c>
      <c r="E639" s="8">
        <v>0</v>
      </c>
      <c r="F639" s="8">
        <v>0</v>
      </c>
      <c r="G639" s="8">
        <v>1.35135478549454</v>
      </c>
      <c r="H639" s="8">
        <v>0</v>
      </c>
      <c r="I639" s="8">
        <v>0</v>
      </c>
      <c r="J639" s="8">
        <v>0</v>
      </c>
      <c r="K639" s="8">
        <v>2.07870484173545</v>
      </c>
      <c r="L639" s="8">
        <v>1.4163862602195</v>
      </c>
      <c r="M639" s="8">
        <v>2.24830915114819</v>
      </c>
    </row>
    <row r="640" spans="1:17">
      <c r="A640" s="8" t="s">
        <v>229</v>
      </c>
      <c r="B640" s="8" t="s">
        <v>200</v>
      </c>
      <c r="C640" s="8" t="s">
        <v>98</v>
      </c>
      <c r="D640" s="8">
        <v>0</v>
      </c>
      <c r="E640" s="8">
        <v>5.09236506486033</v>
      </c>
      <c r="F640" s="8">
        <v>0</v>
      </c>
      <c r="G640" s="8">
        <v>3.03820855625026</v>
      </c>
      <c r="H640" s="8">
        <v>0</v>
      </c>
      <c r="I640" s="8">
        <v>0</v>
      </c>
      <c r="J640" s="8">
        <v>9.58175489725616</v>
      </c>
      <c r="K640" s="8">
        <v>7.34215145612841</v>
      </c>
      <c r="L640" s="8">
        <v>5.71570460387941</v>
      </c>
      <c r="M640" s="8">
        <v>0</v>
      </c>
    </row>
    <row r="641" spans="1:17">
      <c r="A641" s="8" t="s">
        <v>229</v>
      </c>
      <c r="B641" s="8" t="s">
        <v>200</v>
      </c>
      <c r="C641" s="8" t="s">
        <v>95</v>
      </c>
      <c r="D641" s="8">
        <v>0</v>
      </c>
      <c r="E641" s="8">
        <v>1.02843334778973</v>
      </c>
      <c r="F641" s="8">
        <v>0</v>
      </c>
      <c r="G641" s="8">
        <v>2.84346648598936</v>
      </c>
      <c r="H641" s="8">
        <v>0</v>
      </c>
      <c r="I641" s="8">
        <v>0</v>
      </c>
      <c r="J641" s="8">
        <v>0</v>
      </c>
      <c r="K641" s="8">
        <v>3.64597883086706</v>
      </c>
      <c r="L641" s="8">
        <v>1.11798091377748</v>
      </c>
      <c r="M641" s="8">
        <v>1.14781007542758</v>
      </c>
    </row>
    <row r="642" spans="1:17">
      <c r="A642" s="8" t="s">
        <v>229</v>
      </c>
      <c r="B642" s="8" t="s">
        <v>200</v>
      </c>
      <c r="C642" s="8" t="s">
        <v>93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</row>
    <row r="643" spans="1:17">
      <c r="A643" s="8" t="s">
        <v>229</v>
      </c>
      <c r="B643" s="8" t="s">
        <v>200</v>
      </c>
      <c r="C643" s="8" t="s">
        <v>96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</row>
    <row r="644" spans="1:17">
      <c r="A644" s="8" t="s">
        <v>229</v>
      </c>
      <c r="B644" s="8" t="s">
        <v>200</v>
      </c>
      <c r="C644" s="8" t="s">
        <v>94</v>
      </c>
      <c r="D644" s="8">
        <v>0</v>
      </c>
      <c r="E644" s="8">
        <v>0</v>
      </c>
      <c r="F644" s="8">
        <v>0</v>
      </c>
      <c r="G644" s="8">
        <v>2.10313358623515</v>
      </c>
      <c r="H644" s="8">
        <v>0</v>
      </c>
      <c r="I644" s="8">
        <v>0.848558957858374</v>
      </c>
      <c r="J644" s="8">
        <v>0</v>
      </c>
      <c r="K644" s="8">
        <v>3.76133602645148</v>
      </c>
      <c r="L644" s="8">
        <v>1.21610793202369</v>
      </c>
      <c r="M644" s="8">
        <v>0.688578127202428</v>
      </c>
    </row>
    <row r="645" spans="1:17">
      <c r="A645" s="8" t="s">
        <v>229</v>
      </c>
      <c r="B645" s="8" t="s">
        <v>201</v>
      </c>
      <c r="C645" s="8" t="s">
        <v>202</v>
      </c>
      <c r="D645" s="8">
        <v>0</v>
      </c>
      <c r="E645" s="8">
        <v>0</v>
      </c>
      <c r="F645" s="8">
        <v>0</v>
      </c>
      <c r="G645" s="8">
        <v>6.10449570049747</v>
      </c>
      <c r="H645" s="8">
        <v>0</v>
      </c>
      <c r="I645" s="8">
        <v>0</v>
      </c>
      <c r="J645" s="8">
        <v>8.6450341116016</v>
      </c>
      <c r="K645" s="8">
        <v>7.24098585294196</v>
      </c>
      <c r="L645" s="8">
        <v>2.83392554764516</v>
      </c>
      <c r="M645" s="8">
        <v>24.8703333830838</v>
      </c>
    </row>
    <row r="647" spans="1:17">
      <c r="N647" s="11" t="s">
        <v>203</v>
      </c>
      <c r="O647" s="11" t="s">
        <v>203</v>
      </c>
      <c r="P647" s="11" t="s">
        <v>204</v>
      </c>
      <c r="Q647" s="11" t="s">
        <v>204</v>
      </c>
    </row>
    <row r="648" spans="1:17">
      <c r="B648" s="8" t="s">
        <v>229</v>
      </c>
      <c r="C648" s="8" t="s">
        <v>188</v>
      </c>
      <c r="D648" s="8">
        <f t="shared" ref="D648:M648" si="291">D631</f>
        <v>0</v>
      </c>
      <c r="E648" s="8">
        <f t="shared" si="291"/>
        <v>0</v>
      </c>
      <c r="F648" s="8">
        <f t="shared" si="291"/>
        <v>0</v>
      </c>
      <c r="G648" s="8">
        <f t="shared" si="291"/>
        <v>0</v>
      </c>
      <c r="H648" s="8">
        <f t="shared" si="291"/>
        <v>0</v>
      </c>
      <c r="I648" s="8">
        <f t="shared" si="291"/>
        <v>0</v>
      </c>
      <c r="J648" s="8">
        <f t="shared" si="291"/>
        <v>0</v>
      </c>
      <c r="K648" s="8">
        <f t="shared" si="291"/>
        <v>0</v>
      </c>
      <c r="L648" s="8">
        <f t="shared" si="291"/>
        <v>0</v>
      </c>
      <c r="M648" s="8">
        <f t="shared" si="291"/>
        <v>0</v>
      </c>
      <c r="N648" s="8">
        <f t="shared" ref="N648:N655" si="292">AVERAGE(D648:H648)</f>
        <v>0</v>
      </c>
      <c r="O648" s="8">
        <f t="shared" ref="O648:O655" si="293">AVERAGE(I648:M648)</f>
        <v>0</v>
      </c>
      <c r="P648" s="8">
        <f t="shared" ref="P648:P655" si="294">LOG(N648+1,2)</f>
        <v>0</v>
      </c>
      <c r="Q648" s="8">
        <f t="shared" ref="Q648:Q655" si="295">LOG(O648+1,2)</f>
        <v>0</v>
      </c>
    </row>
    <row r="649" spans="1:17">
      <c r="B649" s="8" t="s">
        <v>229</v>
      </c>
      <c r="C649" s="8" t="s">
        <v>190</v>
      </c>
      <c r="D649" s="8">
        <f t="shared" ref="D649:M649" si="296">D632</f>
        <v>0</v>
      </c>
      <c r="E649" s="8">
        <f t="shared" si="296"/>
        <v>0</v>
      </c>
      <c r="F649" s="8">
        <f t="shared" si="296"/>
        <v>0</v>
      </c>
      <c r="G649" s="8">
        <f t="shared" si="296"/>
        <v>0</v>
      </c>
      <c r="H649" s="8">
        <f t="shared" si="296"/>
        <v>0</v>
      </c>
      <c r="I649" s="8">
        <f t="shared" si="296"/>
        <v>0</v>
      </c>
      <c r="J649" s="8">
        <f t="shared" si="296"/>
        <v>0</v>
      </c>
      <c r="K649" s="8">
        <f t="shared" si="296"/>
        <v>0</v>
      </c>
      <c r="L649" s="8">
        <f t="shared" si="296"/>
        <v>0</v>
      </c>
      <c r="M649" s="8">
        <f t="shared" si="296"/>
        <v>0</v>
      </c>
      <c r="N649" s="8">
        <f t="shared" si="292"/>
        <v>0</v>
      </c>
      <c r="O649" s="8">
        <f t="shared" si="293"/>
        <v>0</v>
      </c>
      <c r="P649" s="8">
        <f t="shared" si="294"/>
        <v>0</v>
      </c>
      <c r="Q649" s="8">
        <f t="shared" si="295"/>
        <v>0</v>
      </c>
    </row>
    <row r="650" spans="1:17">
      <c r="B650" s="8" t="s">
        <v>229</v>
      </c>
      <c r="C650" s="8" t="s">
        <v>192</v>
      </c>
      <c r="D650" s="8">
        <f t="shared" ref="D650:M650" si="297">D633+D634</f>
        <v>0</v>
      </c>
      <c r="E650" s="8">
        <f t="shared" si="297"/>
        <v>0</v>
      </c>
      <c r="F650" s="8">
        <f t="shared" si="297"/>
        <v>0</v>
      </c>
      <c r="G650" s="8">
        <f t="shared" si="297"/>
        <v>0</v>
      </c>
      <c r="H650" s="8">
        <f t="shared" si="297"/>
        <v>0</v>
      </c>
      <c r="I650" s="8">
        <f t="shared" si="297"/>
        <v>0</v>
      </c>
      <c r="J650" s="8">
        <f t="shared" si="297"/>
        <v>0</v>
      </c>
      <c r="K650" s="8">
        <f t="shared" si="297"/>
        <v>0</v>
      </c>
      <c r="L650" s="8">
        <f t="shared" si="297"/>
        <v>0</v>
      </c>
      <c r="M650" s="8">
        <f t="shared" si="297"/>
        <v>0</v>
      </c>
      <c r="N650" s="8">
        <f t="shared" si="292"/>
        <v>0</v>
      </c>
      <c r="O650" s="8">
        <f t="shared" si="293"/>
        <v>0</v>
      </c>
      <c r="P650" s="8">
        <f t="shared" si="294"/>
        <v>0</v>
      </c>
      <c r="Q650" s="8">
        <f t="shared" si="295"/>
        <v>0</v>
      </c>
    </row>
    <row r="651" spans="1:17">
      <c r="B651" s="8" t="s">
        <v>229</v>
      </c>
      <c r="C651" s="8" t="s">
        <v>195</v>
      </c>
      <c r="D651" s="8">
        <f t="shared" ref="D651:M651" si="298">SUM(D635:D636)</f>
        <v>0</v>
      </c>
      <c r="E651" s="8">
        <f t="shared" si="298"/>
        <v>0</v>
      </c>
      <c r="F651" s="8">
        <f t="shared" si="298"/>
        <v>0</v>
      </c>
      <c r="G651" s="8">
        <f t="shared" si="298"/>
        <v>0</v>
      </c>
      <c r="H651" s="8">
        <f t="shared" si="298"/>
        <v>0</v>
      </c>
      <c r="I651" s="8">
        <f t="shared" si="298"/>
        <v>0</v>
      </c>
      <c r="J651" s="8">
        <f t="shared" si="298"/>
        <v>0</v>
      </c>
      <c r="K651" s="8">
        <f t="shared" si="298"/>
        <v>0</v>
      </c>
      <c r="L651" s="8">
        <f t="shared" si="298"/>
        <v>0</v>
      </c>
      <c r="M651" s="8">
        <f t="shared" si="298"/>
        <v>0</v>
      </c>
      <c r="N651" s="8">
        <f t="shared" si="292"/>
        <v>0</v>
      </c>
      <c r="O651" s="8">
        <f t="shared" si="293"/>
        <v>0</v>
      </c>
      <c r="P651" s="8">
        <f t="shared" si="294"/>
        <v>0</v>
      </c>
      <c r="Q651" s="8">
        <f t="shared" si="295"/>
        <v>0</v>
      </c>
    </row>
    <row r="652" spans="1:17">
      <c r="B652" s="8" t="s">
        <v>229</v>
      </c>
      <c r="C652" s="8" t="s">
        <v>198</v>
      </c>
      <c r="D652" s="8">
        <f t="shared" ref="D652:M652" si="299">D637</f>
        <v>0</v>
      </c>
      <c r="E652" s="8">
        <f t="shared" si="299"/>
        <v>0</v>
      </c>
      <c r="F652" s="8">
        <f t="shared" si="299"/>
        <v>0</v>
      </c>
      <c r="G652" s="8">
        <f t="shared" si="299"/>
        <v>0</v>
      </c>
      <c r="H652" s="8">
        <f t="shared" si="299"/>
        <v>0</v>
      </c>
      <c r="I652" s="8">
        <f t="shared" si="299"/>
        <v>0</v>
      </c>
      <c r="J652" s="8">
        <f t="shared" si="299"/>
        <v>0</v>
      </c>
      <c r="K652" s="8">
        <f t="shared" si="299"/>
        <v>0</v>
      </c>
      <c r="L652" s="8">
        <f t="shared" si="299"/>
        <v>0</v>
      </c>
      <c r="M652" s="8">
        <f t="shared" si="299"/>
        <v>0</v>
      </c>
      <c r="N652" s="8">
        <f t="shared" si="292"/>
        <v>0</v>
      </c>
      <c r="O652" s="8">
        <f t="shared" si="293"/>
        <v>0</v>
      </c>
      <c r="P652" s="8">
        <f t="shared" si="294"/>
        <v>0</v>
      </c>
      <c r="Q652" s="8">
        <f t="shared" si="295"/>
        <v>0</v>
      </c>
    </row>
    <row r="653" spans="1:17">
      <c r="B653" s="8" t="s">
        <v>229</v>
      </c>
      <c r="C653" s="8" t="s">
        <v>36</v>
      </c>
      <c r="D653" s="8">
        <f t="shared" ref="D653:M653" si="300">D638</f>
        <v>0</v>
      </c>
      <c r="E653" s="8">
        <f t="shared" si="300"/>
        <v>0</v>
      </c>
      <c r="F653" s="8">
        <f t="shared" si="300"/>
        <v>0</v>
      </c>
      <c r="G653" s="8">
        <f t="shared" si="300"/>
        <v>0</v>
      </c>
      <c r="H653" s="8">
        <f t="shared" si="300"/>
        <v>0</v>
      </c>
      <c r="I653" s="8">
        <f t="shared" si="300"/>
        <v>0</v>
      </c>
      <c r="J653" s="8">
        <f t="shared" si="300"/>
        <v>0</v>
      </c>
      <c r="K653" s="8">
        <f t="shared" si="300"/>
        <v>0</v>
      </c>
      <c r="L653" s="8">
        <f t="shared" si="300"/>
        <v>0</v>
      </c>
      <c r="M653" s="8">
        <f t="shared" si="300"/>
        <v>0</v>
      </c>
      <c r="N653" s="8">
        <f t="shared" si="292"/>
        <v>0</v>
      </c>
      <c r="O653" s="8">
        <f t="shared" si="293"/>
        <v>0</v>
      </c>
      <c r="P653" s="8">
        <f t="shared" si="294"/>
        <v>0</v>
      </c>
      <c r="Q653" s="8">
        <f t="shared" si="295"/>
        <v>0</v>
      </c>
    </row>
    <row r="654" spans="1:17">
      <c r="B654" s="8" t="s">
        <v>229</v>
      </c>
      <c r="C654" s="8" t="s">
        <v>200</v>
      </c>
      <c r="D654" s="8">
        <f t="shared" ref="D654:M654" si="301">SUM(D639:D644)</f>
        <v>0</v>
      </c>
      <c r="E654" s="8">
        <f t="shared" si="301"/>
        <v>6.12079841265006</v>
      </c>
      <c r="F654" s="8">
        <f t="shared" si="301"/>
        <v>0</v>
      </c>
      <c r="G654" s="8">
        <f t="shared" si="301"/>
        <v>9.3361634139693</v>
      </c>
      <c r="H654" s="8">
        <f t="shared" si="301"/>
        <v>0</v>
      </c>
      <c r="I654" s="8">
        <f t="shared" si="301"/>
        <v>0.848558957858374</v>
      </c>
      <c r="J654" s="8">
        <f t="shared" si="301"/>
        <v>9.58175489725616</v>
      </c>
      <c r="K654" s="8">
        <f t="shared" si="301"/>
        <v>16.8281711551824</v>
      </c>
      <c r="L654" s="8">
        <f t="shared" si="301"/>
        <v>9.46617970990008</v>
      </c>
      <c r="M654" s="8">
        <f t="shared" si="301"/>
        <v>4.0846973537782</v>
      </c>
      <c r="N654" s="8">
        <f t="shared" si="292"/>
        <v>3.09139236532387</v>
      </c>
      <c r="O654" s="8">
        <f t="shared" si="293"/>
        <v>8.16187241479504</v>
      </c>
      <c r="P654" s="8">
        <f t="shared" si="294"/>
        <v>2.03259189859562</v>
      </c>
      <c r="Q654" s="8">
        <f t="shared" si="295"/>
        <v>3.19564247250184</v>
      </c>
    </row>
    <row r="655" spans="1:17">
      <c r="B655" s="8" t="s">
        <v>229</v>
      </c>
      <c r="C655" s="8" t="s">
        <v>201</v>
      </c>
      <c r="D655" s="8">
        <f t="shared" ref="D655:M655" si="302">D645</f>
        <v>0</v>
      </c>
      <c r="E655" s="8">
        <f t="shared" si="302"/>
        <v>0</v>
      </c>
      <c r="F655" s="8">
        <f t="shared" si="302"/>
        <v>0</v>
      </c>
      <c r="G655" s="8">
        <f t="shared" si="302"/>
        <v>6.10449570049747</v>
      </c>
      <c r="H655" s="8">
        <f t="shared" si="302"/>
        <v>0</v>
      </c>
      <c r="I655" s="8">
        <f t="shared" si="302"/>
        <v>0</v>
      </c>
      <c r="J655" s="8">
        <f t="shared" si="302"/>
        <v>8.6450341116016</v>
      </c>
      <c r="K655" s="8">
        <f t="shared" si="302"/>
        <v>7.24098585294196</v>
      </c>
      <c r="L655" s="8">
        <f t="shared" si="302"/>
        <v>2.83392554764516</v>
      </c>
      <c r="M655" s="8">
        <f t="shared" si="302"/>
        <v>24.8703333830838</v>
      </c>
      <c r="N655" s="8">
        <f t="shared" si="292"/>
        <v>1.22089914009949</v>
      </c>
      <c r="O655" s="8">
        <f t="shared" si="293"/>
        <v>8.71805577905451</v>
      </c>
      <c r="P655" s="8">
        <f t="shared" si="294"/>
        <v>1.15114387582846</v>
      </c>
      <c r="Q655" s="8">
        <f t="shared" si="295"/>
        <v>3.28066771316464</v>
      </c>
    </row>
    <row r="659" spans="1:13">
      <c r="A659" s="8" t="s">
        <v>230</v>
      </c>
      <c r="B659" s="8" t="s">
        <v>188</v>
      </c>
      <c r="C659" s="8" t="s">
        <v>189</v>
      </c>
      <c r="D659" s="8">
        <v>0</v>
      </c>
      <c r="E659" s="8">
        <v>0</v>
      </c>
      <c r="F659" s="8">
        <v>0</v>
      </c>
      <c r="G659" s="8">
        <v>36.1641495090869</v>
      </c>
      <c r="H659" s="8">
        <v>0</v>
      </c>
      <c r="I659" s="8">
        <v>0</v>
      </c>
      <c r="J659" s="8">
        <v>0</v>
      </c>
      <c r="K659" s="8">
        <v>0</v>
      </c>
      <c r="L659" s="8">
        <v>2.82631877003157</v>
      </c>
      <c r="M659" s="8">
        <v>0</v>
      </c>
    </row>
    <row r="660" spans="1:13">
      <c r="A660" s="8" t="s">
        <v>230</v>
      </c>
      <c r="B660" s="8" t="s">
        <v>190</v>
      </c>
      <c r="C660" s="8" t="s">
        <v>191</v>
      </c>
      <c r="D660" s="8">
        <v>0</v>
      </c>
      <c r="E660" s="8">
        <v>5.80635057207353</v>
      </c>
      <c r="F660" s="8">
        <v>0</v>
      </c>
      <c r="G660" s="8">
        <v>12.5228037038086</v>
      </c>
      <c r="H660" s="8">
        <v>0</v>
      </c>
      <c r="I660" s="8">
        <v>0</v>
      </c>
      <c r="J660" s="8">
        <v>0</v>
      </c>
      <c r="K660" s="8">
        <v>0</v>
      </c>
      <c r="L660" s="8">
        <v>74.6611539810237</v>
      </c>
      <c r="M660" s="8">
        <v>0</v>
      </c>
    </row>
    <row r="661" spans="1:13">
      <c r="A661" s="8" t="s">
        <v>230</v>
      </c>
      <c r="B661" s="8" t="s">
        <v>192</v>
      </c>
      <c r="C661" s="8" t="s">
        <v>193</v>
      </c>
      <c r="D661" s="8">
        <v>0</v>
      </c>
      <c r="E661" s="8">
        <v>0</v>
      </c>
      <c r="F661" s="8">
        <v>0</v>
      </c>
      <c r="G661" s="8">
        <v>71.6973784520246</v>
      </c>
      <c r="H661" s="8">
        <v>0</v>
      </c>
      <c r="I661" s="8">
        <v>0</v>
      </c>
      <c r="J661" s="8">
        <v>0</v>
      </c>
      <c r="K661" s="8">
        <v>0</v>
      </c>
      <c r="L661" s="8">
        <v>6.92128143311005</v>
      </c>
      <c r="M661" s="8">
        <v>16.5336676308473</v>
      </c>
    </row>
    <row r="662" spans="1:13">
      <c r="A662" s="8" t="s">
        <v>230</v>
      </c>
      <c r="B662" s="8" t="s">
        <v>192</v>
      </c>
      <c r="C662" s="8" t="s">
        <v>194</v>
      </c>
      <c r="D662" s="8">
        <v>0</v>
      </c>
      <c r="E662" s="8">
        <v>3.1290963289481</v>
      </c>
      <c r="F662" s="8">
        <v>0</v>
      </c>
      <c r="G662" s="8">
        <v>22.8046174478249</v>
      </c>
      <c r="H662" s="8">
        <v>0</v>
      </c>
      <c r="I662" s="8">
        <v>0</v>
      </c>
      <c r="J662" s="8">
        <v>0</v>
      </c>
      <c r="K662" s="8">
        <v>0</v>
      </c>
      <c r="L662" s="8">
        <v>16.0940226643444</v>
      </c>
      <c r="M662" s="8">
        <v>0</v>
      </c>
    </row>
    <row r="663" spans="1:13">
      <c r="A663" s="8" t="s">
        <v>230</v>
      </c>
      <c r="B663" s="8" t="s">
        <v>195</v>
      </c>
      <c r="C663" s="8" t="s">
        <v>196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</row>
    <row r="664" spans="1:13">
      <c r="A664" s="8" t="s">
        <v>230</v>
      </c>
      <c r="B664" s="8" t="s">
        <v>195</v>
      </c>
      <c r="C664" s="8" t="s">
        <v>197</v>
      </c>
      <c r="D664" s="8">
        <v>0</v>
      </c>
      <c r="E664" s="8">
        <v>0</v>
      </c>
      <c r="F664" s="8">
        <v>0</v>
      </c>
      <c r="G664" s="8">
        <v>0.441866179945494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</row>
    <row r="665" spans="1:13">
      <c r="A665" s="8" t="s">
        <v>230</v>
      </c>
      <c r="B665" s="8" t="s">
        <v>198</v>
      </c>
      <c r="C665" s="8" t="s">
        <v>199</v>
      </c>
      <c r="D665" s="8">
        <v>0</v>
      </c>
      <c r="E665" s="8">
        <v>0</v>
      </c>
      <c r="F665" s="8">
        <v>0</v>
      </c>
      <c r="G665" s="8">
        <v>76.8004131067382</v>
      </c>
      <c r="H665" s="8">
        <v>0</v>
      </c>
      <c r="I665" s="8">
        <v>2.72598256682346</v>
      </c>
      <c r="J665" s="8">
        <v>0</v>
      </c>
      <c r="K665" s="8">
        <v>0</v>
      </c>
      <c r="L665" s="8">
        <v>17.6725035358168</v>
      </c>
      <c r="M665" s="8">
        <v>17.2223302689539</v>
      </c>
    </row>
    <row r="666" spans="1:13">
      <c r="A666" s="8" t="s">
        <v>230</v>
      </c>
      <c r="B666" s="8" t="s">
        <v>36</v>
      </c>
      <c r="C666" s="8" t="s">
        <v>130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</row>
    <row r="667" spans="1:13">
      <c r="A667" s="8" t="s">
        <v>230</v>
      </c>
      <c r="B667" s="8" t="s">
        <v>200</v>
      </c>
      <c r="C667" s="8" t="s">
        <v>97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</row>
    <row r="668" spans="1:13">
      <c r="A668" s="8" t="s">
        <v>230</v>
      </c>
      <c r="B668" s="8" t="s">
        <v>200</v>
      </c>
      <c r="C668" s="8" t="s">
        <v>98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</row>
    <row r="669" spans="1:13">
      <c r="A669" s="8" t="s">
        <v>230</v>
      </c>
      <c r="B669" s="8" t="s">
        <v>200</v>
      </c>
      <c r="C669" s="8" t="s">
        <v>95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</row>
    <row r="670" spans="1:13">
      <c r="A670" s="8" t="s">
        <v>230</v>
      </c>
      <c r="B670" s="8" t="s">
        <v>200</v>
      </c>
      <c r="C670" s="8" t="s">
        <v>93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</row>
    <row r="671" spans="1:13">
      <c r="A671" s="8" t="s">
        <v>230</v>
      </c>
      <c r="B671" s="8" t="s">
        <v>200</v>
      </c>
      <c r="C671" s="8" t="s">
        <v>96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</row>
    <row r="672" spans="1:13">
      <c r="A672" s="8" t="s">
        <v>230</v>
      </c>
      <c r="B672" s="8" t="s">
        <v>200</v>
      </c>
      <c r="C672" s="8" t="s">
        <v>94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</row>
    <row r="673" spans="1:13">
      <c r="A673" s="8" t="s">
        <v>230</v>
      </c>
      <c r="B673" s="8" t="s">
        <v>201</v>
      </c>
      <c r="C673" s="8" t="s">
        <v>202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</row>
    <row r="675" spans="1:13">
      <c r="A675" s="8" t="s">
        <v>231</v>
      </c>
      <c r="B675" s="8" t="s">
        <v>188</v>
      </c>
      <c r="C675" s="8" t="s">
        <v>189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</row>
    <row r="676" spans="1:13">
      <c r="A676" s="8" t="s">
        <v>231</v>
      </c>
      <c r="B676" s="8" t="s">
        <v>190</v>
      </c>
      <c r="C676" s="8" t="s">
        <v>191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</row>
    <row r="677" spans="1:13">
      <c r="A677" s="8" t="s">
        <v>231</v>
      </c>
      <c r="B677" s="8" t="s">
        <v>192</v>
      </c>
      <c r="C677" s="8" t="s">
        <v>193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</row>
    <row r="678" spans="1:13">
      <c r="A678" s="8" t="s">
        <v>231</v>
      </c>
      <c r="B678" s="8" t="s">
        <v>192</v>
      </c>
      <c r="C678" s="8" t="s">
        <v>194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</row>
    <row r="679" spans="1:13">
      <c r="A679" s="8" t="s">
        <v>231</v>
      </c>
      <c r="B679" s="8" t="s">
        <v>195</v>
      </c>
      <c r="C679" s="8" t="s">
        <v>196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</row>
    <row r="680" spans="1:13">
      <c r="A680" s="8" t="s">
        <v>231</v>
      </c>
      <c r="B680" s="8" t="s">
        <v>195</v>
      </c>
      <c r="C680" s="8" t="s">
        <v>197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</row>
    <row r="681" spans="1:13">
      <c r="A681" s="8" t="s">
        <v>231</v>
      </c>
      <c r="B681" s="8" t="s">
        <v>198</v>
      </c>
      <c r="C681" s="8" t="s">
        <v>199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</row>
    <row r="682" spans="1:13">
      <c r="A682" s="8" t="s">
        <v>231</v>
      </c>
      <c r="B682" s="8" t="s">
        <v>36</v>
      </c>
      <c r="C682" s="8" t="s">
        <v>130</v>
      </c>
      <c r="D682" s="8">
        <v>1.87366941590491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13.8589657662076</v>
      </c>
      <c r="K682" s="8">
        <v>0</v>
      </c>
      <c r="L682" s="8">
        <v>0</v>
      </c>
      <c r="M682" s="8">
        <v>0</v>
      </c>
    </row>
    <row r="683" spans="1:13">
      <c r="A683" s="8" t="s">
        <v>231</v>
      </c>
      <c r="B683" s="8" t="s">
        <v>200</v>
      </c>
      <c r="C683" s="8" t="s">
        <v>97</v>
      </c>
      <c r="D683" s="8">
        <v>0</v>
      </c>
      <c r="E683" s="8">
        <v>0</v>
      </c>
      <c r="F683" s="8">
        <v>0</v>
      </c>
      <c r="G683" s="8">
        <v>3.02519775058944</v>
      </c>
      <c r="H683" s="8">
        <v>0</v>
      </c>
      <c r="I683" s="8">
        <v>0</v>
      </c>
      <c r="J683" s="8">
        <v>0</v>
      </c>
      <c r="K683" s="8">
        <v>0</v>
      </c>
      <c r="L683" s="8">
        <v>15.7023083536208</v>
      </c>
      <c r="M683" s="8">
        <v>13.8404865140785</v>
      </c>
    </row>
    <row r="684" spans="1:13">
      <c r="A684" s="8" t="s">
        <v>231</v>
      </c>
      <c r="B684" s="8" t="s">
        <v>200</v>
      </c>
      <c r="C684" s="8" t="s">
        <v>98</v>
      </c>
      <c r="D684" s="8">
        <v>0</v>
      </c>
      <c r="E684" s="8">
        <v>0</v>
      </c>
      <c r="F684" s="8">
        <v>0</v>
      </c>
      <c r="G684" s="8">
        <v>2.27833992342074</v>
      </c>
      <c r="H684" s="8">
        <v>0</v>
      </c>
      <c r="I684" s="8">
        <v>0</v>
      </c>
      <c r="J684" s="8">
        <v>7.77814724027404</v>
      </c>
      <c r="K684" s="8">
        <v>0</v>
      </c>
      <c r="L684" s="8">
        <v>64.5665786993091</v>
      </c>
      <c r="M684" s="8">
        <v>0</v>
      </c>
    </row>
    <row r="685" spans="1:13">
      <c r="A685" s="8" t="s">
        <v>231</v>
      </c>
      <c r="B685" s="8" t="s">
        <v>200</v>
      </c>
      <c r="C685" s="8" t="s">
        <v>95</v>
      </c>
      <c r="D685" s="8">
        <v>0</v>
      </c>
      <c r="E685" s="8">
        <v>0</v>
      </c>
      <c r="F685" s="8">
        <v>0</v>
      </c>
      <c r="G685" s="8">
        <v>2.15475399147311</v>
      </c>
      <c r="H685" s="8">
        <v>2.14152935331622</v>
      </c>
      <c r="I685" s="8">
        <v>0</v>
      </c>
      <c r="J685" s="8">
        <v>0</v>
      </c>
      <c r="K685" s="8">
        <v>3.64869459793658</v>
      </c>
      <c r="L685" s="8">
        <v>6.34707280599251</v>
      </c>
      <c r="M685" s="8">
        <v>7.42544307178122</v>
      </c>
    </row>
    <row r="686" spans="1:13">
      <c r="A686" s="8" t="s">
        <v>231</v>
      </c>
      <c r="B686" s="8" t="s">
        <v>200</v>
      </c>
      <c r="C686" s="8" t="s">
        <v>93</v>
      </c>
      <c r="D686" s="8">
        <v>0</v>
      </c>
      <c r="E686" s="8">
        <v>0</v>
      </c>
      <c r="F686" s="8">
        <v>2.67478955931106</v>
      </c>
      <c r="G686" s="8">
        <v>1.79902883155802</v>
      </c>
      <c r="H686" s="8">
        <v>2.09998604326588</v>
      </c>
      <c r="I686" s="8">
        <v>12.4641576822355</v>
      </c>
      <c r="J686" s="8">
        <v>0</v>
      </c>
      <c r="K686" s="8">
        <v>7.53889188087679</v>
      </c>
      <c r="L686" s="8">
        <v>3.37307659480643</v>
      </c>
      <c r="M686" s="8">
        <v>2.01967975751645</v>
      </c>
    </row>
    <row r="687" spans="1:13">
      <c r="A687" s="8" t="s">
        <v>231</v>
      </c>
      <c r="B687" s="8" t="s">
        <v>200</v>
      </c>
      <c r="C687" s="8" t="s">
        <v>96</v>
      </c>
      <c r="D687" s="8">
        <v>0</v>
      </c>
      <c r="E687" s="8">
        <v>0</v>
      </c>
      <c r="F687" s="8">
        <v>0</v>
      </c>
      <c r="G687" s="8">
        <v>3.49203730265896</v>
      </c>
      <c r="H687" s="8">
        <v>0</v>
      </c>
      <c r="I687" s="8">
        <v>0</v>
      </c>
      <c r="J687" s="8">
        <v>0</v>
      </c>
      <c r="K687" s="8">
        <v>14.339048828176</v>
      </c>
      <c r="L687" s="8">
        <v>3.05532484990617</v>
      </c>
      <c r="M687" s="8">
        <v>20.9269872307209</v>
      </c>
    </row>
    <row r="688" spans="1:13">
      <c r="A688" s="8" t="s">
        <v>231</v>
      </c>
      <c r="B688" s="8" t="s">
        <v>200</v>
      </c>
      <c r="C688" s="8" t="s">
        <v>94</v>
      </c>
      <c r="D688" s="8">
        <v>0</v>
      </c>
      <c r="E688" s="8">
        <v>0</v>
      </c>
      <c r="F688" s="8">
        <v>5.8252270360944</v>
      </c>
      <c r="G688" s="8">
        <v>0.59307350435358</v>
      </c>
      <c r="H688" s="8">
        <v>0</v>
      </c>
      <c r="I688" s="8">
        <v>4.72526763833355</v>
      </c>
      <c r="J688" s="8">
        <v>0</v>
      </c>
      <c r="K688" s="8">
        <v>0</v>
      </c>
      <c r="L688" s="8">
        <v>5.50324779410391</v>
      </c>
      <c r="M688" s="8">
        <v>8.99575104738128</v>
      </c>
    </row>
    <row r="689" spans="1:13">
      <c r="A689" s="8" t="s">
        <v>231</v>
      </c>
      <c r="B689" s="8" t="s">
        <v>201</v>
      </c>
      <c r="C689" s="8" t="s">
        <v>202</v>
      </c>
      <c r="D689" s="8">
        <v>0</v>
      </c>
      <c r="E689" s="8">
        <v>0</v>
      </c>
      <c r="F689" s="8">
        <v>4.69562931516093</v>
      </c>
      <c r="G689" s="8">
        <v>9.25849019089707</v>
      </c>
      <c r="H689" s="8">
        <v>0</v>
      </c>
      <c r="I689" s="8">
        <v>0</v>
      </c>
      <c r="J689" s="8">
        <v>0</v>
      </c>
      <c r="K689" s="8">
        <v>5.43215478347843</v>
      </c>
      <c r="L689" s="8">
        <v>38.6037028114442</v>
      </c>
      <c r="M689" s="8">
        <v>39.3383065456511</v>
      </c>
    </row>
    <row r="691" spans="1:13">
      <c r="A691" s="8" t="s">
        <v>232</v>
      </c>
      <c r="B691" s="8" t="s">
        <v>188</v>
      </c>
      <c r="C691" s="8" t="s">
        <v>189</v>
      </c>
      <c r="D691" s="8">
        <f t="shared" ref="D691:M691" si="303">SUM(D659,D675)</f>
        <v>0</v>
      </c>
      <c r="E691" s="8">
        <f t="shared" si="303"/>
        <v>0</v>
      </c>
      <c r="F691" s="8">
        <f t="shared" si="303"/>
        <v>0</v>
      </c>
      <c r="G691" s="8">
        <f t="shared" si="303"/>
        <v>36.1641495090869</v>
      </c>
      <c r="H691" s="8">
        <f t="shared" si="303"/>
        <v>0</v>
      </c>
      <c r="I691" s="8">
        <f t="shared" si="303"/>
        <v>0</v>
      </c>
      <c r="J691" s="8">
        <f t="shared" si="303"/>
        <v>0</v>
      </c>
      <c r="K691" s="8">
        <f t="shared" si="303"/>
        <v>0</v>
      </c>
      <c r="L691" s="8">
        <f t="shared" si="303"/>
        <v>2.82631877003157</v>
      </c>
      <c r="M691" s="8">
        <f t="shared" si="303"/>
        <v>0</v>
      </c>
    </row>
    <row r="692" spans="1:13">
      <c r="A692" s="8" t="s">
        <v>232</v>
      </c>
      <c r="B692" s="8" t="s">
        <v>190</v>
      </c>
      <c r="C692" s="8" t="s">
        <v>191</v>
      </c>
      <c r="D692" s="8">
        <f t="shared" ref="D692:M692" si="304">SUM(D660,D676)</f>
        <v>0</v>
      </c>
      <c r="E692" s="8">
        <f t="shared" si="304"/>
        <v>5.80635057207353</v>
      </c>
      <c r="F692" s="8">
        <f t="shared" si="304"/>
        <v>0</v>
      </c>
      <c r="G692" s="8">
        <f t="shared" si="304"/>
        <v>12.5228037038086</v>
      </c>
      <c r="H692" s="8">
        <f t="shared" si="304"/>
        <v>0</v>
      </c>
      <c r="I692" s="8">
        <f t="shared" si="304"/>
        <v>0</v>
      </c>
      <c r="J692" s="8">
        <f t="shared" si="304"/>
        <v>0</v>
      </c>
      <c r="K692" s="8">
        <f t="shared" si="304"/>
        <v>0</v>
      </c>
      <c r="L692" s="8">
        <f t="shared" si="304"/>
        <v>74.6611539810237</v>
      </c>
      <c r="M692" s="8">
        <f t="shared" si="304"/>
        <v>0</v>
      </c>
    </row>
    <row r="693" spans="1:13">
      <c r="A693" s="8" t="s">
        <v>232</v>
      </c>
      <c r="B693" s="8" t="s">
        <v>192</v>
      </c>
      <c r="C693" s="8" t="s">
        <v>193</v>
      </c>
      <c r="D693" s="8">
        <f t="shared" ref="D693:M693" si="305">SUM(D661,D677)</f>
        <v>0</v>
      </c>
      <c r="E693" s="8">
        <f t="shared" si="305"/>
        <v>0</v>
      </c>
      <c r="F693" s="8">
        <f t="shared" si="305"/>
        <v>0</v>
      </c>
      <c r="G693" s="8">
        <f t="shared" si="305"/>
        <v>71.6973784520246</v>
      </c>
      <c r="H693" s="8">
        <f t="shared" si="305"/>
        <v>0</v>
      </c>
      <c r="I693" s="8">
        <f t="shared" si="305"/>
        <v>0</v>
      </c>
      <c r="J693" s="8">
        <f t="shared" si="305"/>
        <v>0</v>
      </c>
      <c r="K693" s="8">
        <f t="shared" si="305"/>
        <v>0</v>
      </c>
      <c r="L693" s="8">
        <f t="shared" si="305"/>
        <v>6.92128143311005</v>
      </c>
      <c r="M693" s="8">
        <f t="shared" si="305"/>
        <v>16.5336676308473</v>
      </c>
    </row>
    <row r="694" spans="1:13">
      <c r="A694" s="8" t="s">
        <v>232</v>
      </c>
      <c r="B694" s="8" t="s">
        <v>192</v>
      </c>
      <c r="C694" s="8" t="s">
        <v>194</v>
      </c>
      <c r="D694" s="8">
        <f t="shared" ref="D694:M694" si="306">SUM(D662,D678)</f>
        <v>0</v>
      </c>
      <c r="E694" s="8">
        <f t="shared" si="306"/>
        <v>3.1290963289481</v>
      </c>
      <c r="F694" s="8">
        <f t="shared" si="306"/>
        <v>0</v>
      </c>
      <c r="G694" s="8">
        <f t="shared" si="306"/>
        <v>22.8046174478249</v>
      </c>
      <c r="H694" s="8">
        <f t="shared" si="306"/>
        <v>0</v>
      </c>
      <c r="I694" s="8">
        <f t="shared" si="306"/>
        <v>0</v>
      </c>
      <c r="J694" s="8">
        <f t="shared" si="306"/>
        <v>0</v>
      </c>
      <c r="K694" s="8">
        <f t="shared" si="306"/>
        <v>0</v>
      </c>
      <c r="L694" s="8">
        <f t="shared" si="306"/>
        <v>16.0940226643444</v>
      </c>
      <c r="M694" s="8">
        <f t="shared" si="306"/>
        <v>0</v>
      </c>
    </row>
    <row r="695" spans="1:13">
      <c r="A695" s="8" t="s">
        <v>232</v>
      </c>
      <c r="B695" s="8" t="s">
        <v>195</v>
      </c>
      <c r="C695" s="8" t="s">
        <v>196</v>
      </c>
      <c r="D695" s="8">
        <f t="shared" ref="D695:M695" si="307">SUM(D663,D679)</f>
        <v>0</v>
      </c>
      <c r="E695" s="8">
        <f t="shared" si="307"/>
        <v>0</v>
      </c>
      <c r="F695" s="8">
        <f t="shared" si="307"/>
        <v>0</v>
      </c>
      <c r="G695" s="8">
        <f t="shared" si="307"/>
        <v>0</v>
      </c>
      <c r="H695" s="8">
        <f t="shared" si="307"/>
        <v>0</v>
      </c>
      <c r="I695" s="8">
        <f t="shared" si="307"/>
        <v>0</v>
      </c>
      <c r="J695" s="8">
        <f t="shared" si="307"/>
        <v>0</v>
      </c>
      <c r="K695" s="8">
        <f t="shared" si="307"/>
        <v>0</v>
      </c>
      <c r="L695" s="8">
        <f t="shared" si="307"/>
        <v>0</v>
      </c>
      <c r="M695" s="8">
        <f t="shared" si="307"/>
        <v>0</v>
      </c>
    </row>
    <row r="696" spans="1:13">
      <c r="A696" s="8" t="s">
        <v>232</v>
      </c>
      <c r="B696" s="8" t="s">
        <v>195</v>
      </c>
      <c r="C696" s="8" t="s">
        <v>197</v>
      </c>
      <c r="D696" s="8">
        <f t="shared" ref="D696:M696" si="308">SUM(D664,D680)</f>
        <v>0</v>
      </c>
      <c r="E696" s="8">
        <f t="shared" si="308"/>
        <v>0</v>
      </c>
      <c r="F696" s="8">
        <f t="shared" si="308"/>
        <v>0</v>
      </c>
      <c r="G696" s="8">
        <f t="shared" si="308"/>
        <v>0.441866179945494</v>
      </c>
      <c r="H696" s="8">
        <f t="shared" si="308"/>
        <v>0</v>
      </c>
      <c r="I696" s="8">
        <f t="shared" si="308"/>
        <v>0</v>
      </c>
      <c r="J696" s="8">
        <f t="shared" si="308"/>
        <v>0</v>
      </c>
      <c r="K696" s="8">
        <f t="shared" si="308"/>
        <v>0</v>
      </c>
      <c r="L696" s="8">
        <f t="shared" si="308"/>
        <v>0</v>
      </c>
      <c r="M696" s="8">
        <f t="shared" si="308"/>
        <v>0</v>
      </c>
    </row>
    <row r="697" spans="1:13">
      <c r="A697" s="8" t="s">
        <v>232</v>
      </c>
      <c r="B697" s="8" t="s">
        <v>198</v>
      </c>
      <c r="C697" s="8" t="s">
        <v>199</v>
      </c>
      <c r="D697" s="8">
        <f t="shared" ref="D697:M697" si="309">SUM(D665,D681)</f>
        <v>0</v>
      </c>
      <c r="E697" s="8">
        <f t="shared" si="309"/>
        <v>0</v>
      </c>
      <c r="F697" s="8">
        <f t="shared" si="309"/>
        <v>0</v>
      </c>
      <c r="G697" s="8">
        <f t="shared" si="309"/>
        <v>76.8004131067382</v>
      </c>
      <c r="H697" s="8">
        <f t="shared" si="309"/>
        <v>0</v>
      </c>
      <c r="I697" s="8">
        <f t="shared" si="309"/>
        <v>2.72598256682346</v>
      </c>
      <c r="J697" s="8">
        <f t="shared" si="309"/>
        <v>0</v>
      </c>
      <c r="K697" s="8">
        <f t="shared" si="309"/>
        <v>0</v>
      </c>
      <c r="L697" s="8">
        <f t="shared" si="309"/>
        <v>17.6725035358168</v>
      </c>
      <c r="M697" s="8">
        <f t="shared" si="309"/>
        <v>17.2223302689539</v>
      </c>
    </row>
    <row r="698" spans="1:13">
      <c r="A698" s="8" t="s">
        <v>232</v>
      </c>
      <c r="B698" s="8" t="s">
        <v>36</v>
      </c>
      <c r="C698" s="8" t="s">
        <v>130</v>
      </c>
      <c r="D698" s="8">
        <f t="shared" ref="D698:M698" si="310">SUM(D666,D682)</f>
        <v>1.87366941590491</v>
      </c>
      <c r="E698" s="8">
        <f t="shared" si="310"/>
        <v>0</v>
      </c>
      <c r="F698" s="8">
        <f t="shared" si="310"/>
        <v>0</v>
      </c>
      <c r="G698" s="8">
        <f t="shared" si="310"/>
        <v>0</v>
      </c>
      <c r="H698" s="8">
        <f t="shared" si="310"/>
        <v>0</v>
      </c>
      <c r="I698" s="8">
        <f t="shared" si="310"/>
        <v>0</v>
      </c>
      <c r="J698" s="8">
        <f t="shared" si="310"/>
        <v>13.8589657662076</v>
      </c>
      <c r="K698" s="8">
        <f t="shared" si="310"/>
        <v>0</v>
      </c>
      <c r="L698" s="8">
        <f t="shared" si="310"/>
        <v>0</v>
      </c>
      <c r="M698" s="8">
        <f t="shared" si="310"/>
        <v>0</v>
      </c>
    </row>
    <row r="699" spans="1:13">
      <c r="A699" s="8" t="s">
        <v>232</v>
      </c>
      <c r="B699" s="8" t="s">
        <v>200</v>
      </c>
      <c r="C699" s="8" t="s">
        <v>97</v>
      </c>
      <c r="D699" s="8">
        <f t="shared" ref="D699:M699" si="311">SUM(D667,D683)</f>
        <v>0</v>
      </c>
      <c r="E699" s="8">
        <f t="shared" si="311"/>
        <v>0</v>
      </c>
      <c r="F699" s="8">
        <f t="shared" si="311"/>
        <v>0</v>
      </c>
      <c r="G699" s="8">
        <f t="shared" si="311"/>
        <v>3.02519775058944</v>
      </c>
      <c r="H699" s="8">
        <f t="shared" si="311"/>
        <v>0</v>
      </c>
      <c r="I699" s="8">
        <f t="shared" si="311"/>
        <v>0</v>
      </c>
      <c r="J699" s="8">
        <f t="shared" si="311"/>
        <v>0</v>
      </c>
      <c r="K699" s="8">
        <f t="shared" si="311"/>
        <v>0</v>
      </c>
      <c r="L699" s="8">
        <f t="shared" si="311"/>
        <v>15.7023083536208</v>
      </c>
      <c r="M699" s="8">
        <f t="shared" si="311"/>
        <v>13.8404865140785</v>
      </c>
    </row>
    <row r="700" spans="1:13">
      <c r="A700" s="8" t="s">
        <v>232</v>
      </c>
      <c r="B700" s="8" t="s">
        <v>200</v>
      </c>
      <c r="C700" s="8" t="s">
        <v>98</v>
      </c>
      <c r="D700" s="8">
        <f t="shared" ref="D700:M700" si="312">SUM(D668,D684)</f>
        <v>0</v>
      </c>
      <c r="E700" s="8">
        <f t="shared" si="312"/>
        <v>0</v>
      </c>
      <c r="F700" s="8">
        <f t="shared" si="312"/>
        <v>0</v>
      </c>
      <c r="G700" s="8">
        <f t="shared" si="312"/>
        <v>2.27833992342074</v>
      </c>
      <c r="H700" s="8">
        <f t="shared" si="312"/>
        <v>0</v>
      </c>
      <c r="I700" s="8">
        <f t="shared" si="312"/>
        <v>0</v>
      </c>
      <c r="J700" s="8">
        <f t="shared" si="312"/>
        <v>7.77814724027404</v>
      </c>
      <c r="K700" s="8">
        <f t="shared" si="312"/>
        <v>0</v>
      </c>
      <c r="L700" s="8">
        <f t="shared" si="312"/>
        <v>64.5665786993091</v>
      </c>
      <c r="M700" s="8">
        <f t="shared" si="312"/>
        <v>0</v>
      </c>
    </row>
    <row r="701" spans="1:13">
      <c r="A701" s="8" t="s">
        <v>232</v>
      </c>
      <c r="B701" s="8" t="s">
        <v>200</v>
      </c>
      <c r="C701" s="8" t="s">
        <v>95</v>
      </c>
      <c r="D701" s="8">
        <f t="shared" ref="D701:M701" si="313">SUM(D669,D685)</f>
        <v>0</v>
      </c>
      <c r="E701" s="8">
        <f t="shared" si="313"/>
        <v>0</v>
      </c>
      <c r="F701" s="8">
        <f t="shared" si="313"/>
        <v>0</v>
      </c>
      <c r="G701" s="8">
        <f t="shared" si="313"/>
        <v>2.15475399147311</v>
      </c>
      <c r="H701" s="8">
        <f t="shared" si="313"/>
        <v>2.14152935331622</v>
      </c>
      <c r="I701" s="8">
        <f t="shared" si="313"/>
        <v>0</v>
      </c>
      <c r="J701" s="8">
        <f t="shared" si="313"/>
        <v>0</v>
      </c>
      <c r="K701" s="8">
        <f t="shared" si="313"/>
        <v>3.64869459793658</v>
      </c>
      <c r="L701" s="8">
        <f t="shared" si="313"/>
        <v>6.34707280599251</v>
      </c>
      <c r="M701" s="8">
        <f t="shared" si="313"/>
        <v>7.42544307178122</v>
      </c>
    </row>
    <row r="702" spans="1:13">
      <c r="A702" s="8" t="s">
        <v>232</v>
      </c>
      <c r="B702" s="8" t="s">
        <v>200</v>
      </c>
      <c r="C702" s="8" t="s">
        <v>93</v>
      </c>
      <c r="D702" s="8">
        <f t="shared" ref="D702:M702" si="314">SUM(D670,D686)</f>
        <v>0</v>
      </c>
      <c r="E702" s="8">
        <f t="shared" si="314"/>
        <v>0</v>
      </c>
      <c r="F702" s="8">
        <f t="shared" si="314"/>
        <v>2.67478955931106</v>
      </c>
      <c r="G702" s="8">
        <f t="shared" si="314"/>
        <v>1.79902883155802</v>
      </c>
      <c r="H702" s="8">
        <f t="shared" si="314"/>
        <v>2.09998604326588</v>
      </c>
      <c r="I702" s="8">
        <f t="shared" si="314"/>
        <v>12.4641576822355</v>
      </c>
      <c r="J702" s="8">
        <f t="shared" si="314"/>
        <v>0</v>
      </c>
      <c r="K702" s="8">
        <f t="shared" si="314"/>
        <v>7.53889188087679</v>
      </c>
      <c r="L702" s="8">
        <f t="shared" si="314"/>
        <v>3.37307659480643</v>
      </c>
      <c r="M702" s="8">
        <f t="shared" si="314"/>
        <v>2.01967975751645</v>
      </c>
    </row>
    <row r="703" spans="1:13">
      <c r="A703" s="8" t="s">
        <v>232</v>
      </c>
      <c r="B703" s="8" t="s">
        <v>200</v>
      </c>
      <c r="C703" s="8" t="s">
        <v>96</v>
      </c>
      <c r="D703" s="8">
        <f t="shared" ref="D703:M703" si="315">SUM(D671,D687)</f>
        <v>0</v>
      </c>
      <c r="E703" s="8">
        <f t="shared" si="315"/>
        <v>0</v>
      </c>
      <c r="F703" s="8">
        <f t="shared" si="315"/>
        <v>0</v>
      </c>
      <c r="G703" s="8">
        <f t="shared" si="315"/>
        <v>3.49203730265896</v>
      </c>
      <c r="H703" s="8">
        <f t="shared" si="315"/>
        <v>0</v>
      </c>
      <c r="I703" s="8">
        <f t="shared" si="315"/>
        <v>0</v>
      </c>
      <c r="J703" s="8">
        <f t="shared" si="315"/>
        <v>0</v>
      </c>
      <c r="K703" s="8">
        <f t="shared" si="315"/>
        <v>14.339048828176</v>
      </c>
      <c r="L703" s="8">
        <f t="shared" si="315"/>
        <v>3.05532484990617</v>
      </c>
      <c r="M703" s="8">
        <f t="shared" si="315"/>
        <v>20.9269872307209</v>
      </c>
    </row>
    <row r="704" spans="1:13">
      <c r="A704" s="8" t="s">
        <v>232</v>
      </c>
      <c r="B704" s="8" t="s">
        <v>200</v>
      </c>
      <c r="C704" s="8" t="s">
        <v>94</v>
      </c>
      <c r="D704" s="8">
        <f t="shared" ref="D704:M704" si="316">SUM(D672,D688)</f>
        <v>0</v>
      </c>
      <c r="E704" s="8">
        <f t="shared" si="316"/>
        <v>0</v>
      </c>
      <c r="F704" s="8">
        <f t="shared" si="316"/>
        <v>5.8252270360944</v>
      </c>
      <c r="G704" s="8">
        <f t="shared" si="316"/>
        <v>0.59307350435358</v>
      </c>
      <c r="H704" s="8">
        <f t="shared" si="316"/>
        <v>0</v>
      </c>
      <c r="I704" s="8">
        <f t="shared" si="316"/>
        <v>4.72526763833355</v>
      </c>
      <c r="J704" s="8">
        <f t="shared" si="316"/>
        <v>0</v>
      </c>
      <c r="K704" s="8">
        <f t="shared" si="316"/>
        <v>0</v>
      </c>
      <c r="L704" s="8">
        <f t="shared" si="316"/>
        <v>5.50324779410391</v>
      </c>
      <c r="M704" s="8">
        <f t="shared" si="316"/>
        <v>8.99575104738128</v>
      </c>
    </row>
    <row r="705" spans="1:17">
      <c r="A705" s="8" t="s">
        <v>232</v>
      </c>
      <c r="B705" s="8" t="s">
        <v>201</v>
      </c>
      <c r="C705" s="8" t="s">
        <v>202</v>
      </c>
      <c r="D705" s="8">
        <f t="shared" ref="D705:M705" si="317">SUM(D673,D689)</f>
        <v>0</v>
      </c>
      <c r="E705" s="8">
        <f t="shared" si="317"/>
        <v>0</v>
      </c>
      <c r="F705" s="8">
        <f t="shared" si="317"/>
        <v>4.69562931516093</v>
      </c>
      <c r="G705" s="8">
        <f t="shared" si="317"/>
        <v>9.25849019089707</v>
      </c>
      <c r="H705" s="8">
        <f t="shared" si="317"/>
        <v>0</v>
      </c>
      <c r="I705" s="8">
        <f t="shared" si="317"/>
        <v>0</v>
      </c>
      <c r="J705" s="8">
        <f t="shared" si="317"/>
        <v>0</v>
      </c>
      <c r="K705" s="8">
        <f t="shared" si="317"/>
        <v>5.43215478347843</v>
      </c>
      <c r="L705" s="8">
        <f t="shared" si="317"/>
        <v>38.6037028114442</v>
      </c>
      <c r="M705" s="8">
        <f t="shared" si="317"/>
        <v>39.3383065456511</v>
      </c>
    </row>
    <row r="707" spans="1:17">
      <c r="N707" s="11" t="s">
        <v>203</v>
      </c>
      <c r="O707" s="11" t="s">
        <v>203</v>
      </c>
      <c r="P707" s="11" t="s">
        <v>204</v>
      </c>
      <c r="Q707" s="11" t="s">
        <v>204</v>
      </c>
    </row>
    <row r="708" spans="1:17">
      <c r="B708" s="8" t="s">
        <v>232</v>
      </c>
      <c r="C708" s="8" t="s">
        <v>188</v>
      </c>
      <c r="D708" s="8">
        <f t="shared" ref="D708:M708" si="318">D691</f>
        <v>0</v>
      </c>
      <c r="E708" s="8">
        <f t="shared" si="318"/>
        <v>0</v>
      </c>
      <c r="F708" s="8">
        <f t="shared" si="318"/>
        <v>0</v>
      </c>
      <c r="G708" s="8">
        <f t="shared" si="318"/>
        <v>36.1641495090869</v>
      </c>
      <c r="H708" s="8">
        <f t="shared" si="318"/>
        <v>0</v>
      </c>
      <c r="I708" s="8">
        <f t="shared" si="318"/>
        <v>0</v>
      </c>
      <c r="J708" s="8">
        <f t="shared" si="318"/>
        <v>0</v>
      </c>
      <c r="K708" s="8">
        <f t="shared" si="318"/>
        <v>0</v>
      </c>
      <c r="L708" s="8">
        <f t="shared" si="318"/>
        <v>2.82631877003157</v>
      </c>
      <c r="M708" s="8">
        <f t="shared" si="318"/>
        <v>0</v>
      </c>
      <c r="N708" s="8">
        <f t="shared" ref="N708:N715" si="319">AVERAGE(D708:H708)</f>
        <v>7.23282990181738</v>
      </c>
      <c r="O708" s="8">
        <f t="shared" ref="O708:O715" si="320">AVERAGE(I708:M708)</f>
        <v>0.565263754006314</v>
      </c>
      <c r="P708" s="8">
        <f t="shared" ref="P708:P715" si="321">LOG(N708+1,2)</f>
        <v>3.04138841892871</v>
      </c>
      <c r="Q708" s="8">
        <f t="shared" ref="Q708:Q715" si="322">LOG(O708+1,2)</f>
        <v>0.646405778266993</v>
      </c>
    </row>
    <row r="709" spans="1:17">
      <c r="B709" s="8" t="s">
        <v>232</v>
      </c>
      <c r="C709" s="8" t="s">
        <v>190</v>
      </c>
      <c r="D709" s="8">
        <f t="shared" ref="D709:M709" si="323">D692</f>
        <v>0</v>
      </c>
      <c r="E709" s="8">
        <f t="shared" si="323"/>
        <v>5.80635057207353</v>
      </c>
      <c r="F709" s="8">
        <f t="shared" si="323"/>
        <v>0</v>
      </c>
      <c r="G709" s="8">
        <f t="shared" si="323"/>
        <v>12.5228037038086</v>
      </c>
      <c r="H709" s="8">
        <f t="shared" si="323"/>
        <v>0</v>
      </c>
      <c r="I709" s="8">
        <f t="shared" si="323"/>
        <v>0</v>
      </c>
      <c r="J709" s="8">
        <f t="shared" si="323"/>
        <v>0</v>
      </c>
      <c r="K709" s="8">
        <f t="shared" si="323"/>
        <v>0</v>
      </c>
      <c r="L709" s="8">
        <f t="shared" si="323"/>
        <v>74.6611539810237</v>
      </c>
      <c r="M709" s="8">
        <f t="shared" si="323"/>
        <v>0</v>
      </c>
      <c r="N709" s="8">
        <f t="shared" si="319"/>
        <v>3.66583085517643</v>
      </c>
      <c r="O709" s="8">
        <f t="shared" si="320"/>
        <v>14.9322307962047</v>
      </c>
      <c r="P709" s="8">
        <f t="shared" si="321"/>
        <v>2.2221340079605</v>
      </c>
      <c r="Q709" s="8">
        <f t="shared" si="322"/>
        <v>3.99387637890674</v>
      </c>
    </row>
    <row r="710" spans="1:17">
      <c r="B710" s="8" t="s">
        <v>232</v>
      </c>
      <c r="C710" s="8" t="s">
        <v>192</v>
      </c>
      <c r="D710" s="8">
        <f t="shared" ref="D710:M710" si="324">D693+D694</f>
        <v>0</v>
      </c>
      <c r="E710" s="8">
        <f t="shared" si="324"/>
        <v>3.1290963289481</v>
      </c>
      <c r="F710" s="8">
        <f t="shared" si="324"/>
        <v>0</v>
      </c>
      <c r="G710" s="8">
        <f t="shared" si="324"/>
        <v>94.5019958998494</v>
      </c>
      <c r="H710" s="8">
        <f t="shared" si="324"/>
        <v>0</v>
      </c>
      <c r="I710" s="8">
        <f t="shared" si="324"/>
        <v>0</v>
      </c>
      <c r="J710" s="8">
        <f t="shared" si="324"/>
        <v>0</v>
      </c>
      <c r="K710" s="8">
        <f t="shared" si="324"/>
        <v>0</v>
      </c>
      <c r="L710" s="8">
        <f t="shared" si="324"/>
        <v>23.0153040974544</v>
      </c>
      <c r="M710" s="8">
        <f t="shared" si="324"/>
        <v>16.5336676308473</v>
      </c>
      <c r="N710" s="8">
        <f t="shared" si="319"/>
        <v>19.5262184457595</v>
      </c>
      <c r="O710" s="8">
        <f t="shared" si="320"/>
        <v>7.90979434566034</v>
      </c>
      <c r="P710" s="8">
        <f t="shared" si="321"/>
        <v>4.35939595847293</v>
      </c>
      <c r="Q710" s="8">
        <f t="shared" si="322"/>
        <v>3.15539213209287</v>
      </c>
    </row>
    <row r="711" spans="1:17">
      <c r="B711" s="8" t="s">
        <v>232</v>
      </c>
      <c r="C711" s="8" t="s">
        <v>195</v>
      </c>
      <c r="D711" s="8">
        <f t="shared" ref="D711:M711" si="325">SUM(D695:D696)</f>
        <v>0</v>
      </c>
      <c r="E711" s="8">
        <f t="shared" si="325"/>
        <v>0</v>
      </c>
      <c r="F711" s="8">
        <f t="shared" si="325"/>
        <v>0</v>
      </c>
      <c r="G711" s="8">
        <f t="shared" si="325"/>
        <v>0.441866179945494</v>
      </c>
      <c r="H711" s="8">
        <f t="shared" si="325"/>
        <v>0</v>
      </c>
      <c r="I711" s="8">
        <f t="shared" si="325"/>
        <v>0</v>
      </c>
      <c r="J711" s="8">
        <f t="shared" si="325"/>
        <v>0</v>
      </c>
      <c r="K711" s="8">
        <f t="shared" si="325"/>
        <v>0</v>
      </c>
      <c r="L711" s="8">
        <f t="shared" si="325"/>
        <v>0</v>
      </c>
      <c r="M711" s="8">
        <f t="shared" si="325"/>
        <v>0</v>
      </c>
      <c r="N711" s="8">
        <f t="shared" si="319"/>
        <v>0.0883732359890989</v>
      </c>
      <c r="O711" s="8">
        <f t="shared" si="320"/>
        <v>0</v>
      </c>
      <c r="P711" s="8">
        <f t="shared" si="321"/>
        <v>0.122173385055106</v>
      </c>
      <c r="Q711" s="8">
        <f t="shared" si="322"/>
        <v>0</v>
      </c>
    </row>
    <row r="712" spans="1:17">
      <c r="B712" s="8" t="s">
        <v>232</v>
      </c>
      <c r="C712" s="8" t="s">
        <v>198</v>
      </c>
      <c r="D712" s="8">
        <f t="shared" ref="D712:M712" si="326">D697</f>
        <v>0</v>
      </c>
      <c r="E712" s="8">
        <f t="shared" si="326"/>
        <v>0</v>
      </c>
      <c r="F712" s="8">
        <f t="shared" si="326"/>
        <v>0</v>
      </c>
      <c r="G712" s="8">
        <f t="shared" si="326"/>
        <v>76.8004131067382</v>
      </c>
      <c r="H712" s="8">
        <f t="shared" si="326"/>
        <v>0</v>
      </c>
      <c r="I712" s="8">
        <f t="shared" si="326"/>
        <v>2.72598256682346</v>
      </c>
      <c r="J712" s="8">
        <f t="shared" si="326"/>
        <v>0</v>
      </c>
      <c r="K712" s="8">
        <f t="shared" si="326"/>
        <v>0</v>
      </c>
      <c r="L712" s="8">
        <f t="shared" si="326"/>
        <v>17.6725035358168</v>
      </c>
      <c r="M712" s="8">
        <f t="shared" si="326"/>
        <v>17.2223302689539</v>
      </c>
      <c r="N712" s="8">
        <f t="shared" si="319"/>
        <v>15.3600826213476</v>
      </c>
      <c r="O712" s="8">
        <f t="shared" si="320"/>
        <v>7.52416327431884</v>
      </c>
      <c r="P712" s="8">
        <f t="shared" si="321"/>
        <v>4.03210812905379</v>
      </c>
      <c r="Q712" s="8">
        <f t="shared" si="322"/>
        <v>3.09155822718844</v>
      </c>
    </row>
    <row r="713" spans="1:17">
      <c r="B713" s="8" t="s">
        <v>232</v>
      </c>
      <c r="C713" s="8" t="s">
        <v>36</v>
      </c>
      <c r="D713" s="8">
        <f t="shared" ref="D713:M713" si="327">D698</f>
        <v>1.87366941590491</v>
      </c>
      <c r="E713" s="8">
        <f t="shared" si="327"/>
        <v>0</v>
      </c>
      <c r="F713" s="8">
        <f t="shared" si="327"/>
        <v>0</v>
      </c>
      <c r="G713" s="8">
        <f t="shared" si="327"/>
        <v>0</v>
      </c>
      <c r="H713" s="8">
        <f t="shared" si="327"/>
        <v>0</v>
      </c>
      <c r="I713" s="8">
        <f t="shared" si="327"/>
        <v>0</v>
      </c>
      <c r="J713" s="8">
        <f t="shared" si="327"/>
        <v>13.8589657662076</v>
      </c>
      <c r="K713" s="8">
        <f t="shared" si="327"/>
        <v>0</v>
      </c>
      <c r="L713" s="8">
        <f t="shared" si="327"/>
        <v>0</v>
      </c>
      <c r="M713" s="8">
        <f t="shared" si="327"/>
        <v>0</v>
      </c>
      <c r="N713" s="8">
        <f t="shared" si="319"/>
        <v>0.374733883180981</v>
      </c>
      <c r="O713" s="8">
        <f t="shared" si="320"/>
        <v>2.77179315324152</v>
      </c>
      <c r="P713" s="8">
        <f t="shared" si="321"/>
        <v>0.459152373130201</v>
      </c>
      <c r="Q713" s="8">
        <f t="shared" si="322"/>
        <v>1.91525056016593</v>
      </c>
    </row>
    <row r="714" spans="1:17">
      <c r="B714" s="8" t="s">
        <v>232</v>
      </c>
      <c r="C714" s="8" t="s">
        <v>200</v>
      </c>
      <c r="D714" s="8">
        <f t="shared" ref="D714:M714" si="328">SUM(D699:D704)</f>
        <v>0</v>
      </c>
      <c r="E714" s="8">
        <f t="shared" si="328"/>
        <v>0</v>
      </c>
      <c r="F714" s="8">
        <f t="shared" si="328"/>
        <v>8.50001659540546</v>
      </c>
      <c r="G714" s="8">
        <f t="shared" si="328"/>
        <v>13.3424313040538</v>
      </c>
      <c r="H714" s="8">
        <f t="shared" si="328"/>
        <v>4.2415153965821</v>
      </c>
      <c r="I714" s="8">
        <f t="shared" si="328"/>
        <v>17.189425320569</v>
      </c>
      <c r="J714" s="8">
        <f t="shared" si="328"/>
        <v>7.77814724027404</v>
      </c>
      <c r="K714" s="8">
        <f t="shared" si="328"/>
        <v>25.5266353069894</v>
      </c>
      <c r="L714" s="8">
        <f t="shared" si="328"/>
        <v>98.5476090977389</v>
      </c>
      <c r="M714" s="8">
        <f t="shared" si="328"/>
        <v>53.2083476214784</v>
      </c>
      <c r="N714" s="8">
        <f t="shared" si="319"/>
        <v>5.21679265920828</v>
      </c>
      <c r="O714" s="8">
        <f t="shared" si="320"/>
        <v>40.4500329174099</v>
      </c>
      <c r="P714" s="8">
        <f t="shared" si="321"/>
        <v>2.6361704633019</v>
      </c>
      <c r="Q714" s="8">
        <f t="shared" si="322"/>
        <v>5.37330134232046</v>
      </c>
    </row>
    <row r="715" spans="1:17">
      <c r="B715" s="8" t="s">
        <v>232</v>
      </c>
      <c r="C715" s="8" t="s">
        <v>201</v>
      </c>
      <c r="D715" s="8">
        <f t="shared" ref="D715:M715" si="329">D705</f>
        <v>0</v>
      </c>
      <c r="E715" s="8">
        <f t="shared" si="329"/>
        <v>0</v>
      </c>
      <c r="F715" s="8">
        <f t="shared" si="329"/>
        <v>4.69562931516093</v>
      </c>
      <c r="G715" s="8">
        <f t="shared" si="329"/>
        <v>9.25849019089707</v>
      </c>
      <c r="H715" s="8">
        <f t="shared" si="329"/>
        <v>0</v>
      </c>
      <c r="I715" s="8">
        <f t="shared" si="329"/>
        <v>0</v>
      </c>
      <c r="J715" s="8">
        <f t="shared" si="329"/>
        <v>0</v>
      </c>
      <c r="K715" s="8">
        <f t="shared" si="329"/>
        <v>5.43215478347843</v>
      </c>
      <c r="L715" s="8">
        <f t="shared" si="329"/>
        <v>38.6037028114442</v>
      </c>
      <c r="M715" s="8">
        <f t="shared" si="329"/>
        <v>39.3383065456511</v>
      </c>
      <c r="N715" s="8">
        <f t="shared" si="319"/>
        <v>2.7908239012116</v>
      </c>
      <c r="O715" s="8">
        <f t="shared" si="320"/>
        <v>16.6748328281147</v>
      </c>
      <c r="P715" s="8">
        <f t="shared" si="321"/>
        <v>1.92251143916495</v>
      </c>
      <c r="Q715" s="8">
        <f t="shared" si="322"/>
        <v>4.14362466470617</v>
      </c>
    </row>
    <row r="719" spans="1:17">
      <c r="A719" s="20" t="s">
        <v>233</v>
      </c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spans="1:17">
      <c r="A720" s="8" t="s">
        <v>234</v>
      </c>
      <c r="B720" s="8" t="s">
        <v>188</v>
      </c>
      <c r="C720" s="8" t="s">
        <v>189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</row>
    <row r="721" spans="1:17">
      <c r="A721" s="8" t="s">
        <v>234</v>
      </c>
      <c r="B721" s="8" t="s">
        <v>190</v>
      </c>
      <c r="C721" s="8" t="s">
        <v>191</v>
      </c>
      <c r="D721" s="8">
        <v>9.01415651826328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17.3108916357692</v>
      </c>
      <c r="K721" s="8">
        <v>0</v>
      </c>
      <c r="L721" s="8">
        <v>0</v>
      </c>
      <c r="M721" s="8">
        <v>0</v>
      </c>
    </row>
    <row r="722" spans="1:17">
      <c r="A722" s="8" t="s">
        <v>234</v>
      </c>
      <c r="B722" s="8" t="s">
        <v>192</v>
      </c>
      <c r="C722" s="8" t="s">
        <v>193</v>
      </c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 spans="1:17">
      <c r="A723" s="8" t="s">
        <v>234</v>
      </c>
      <c r="B723" s="8" t="s">
        <v>192</v>
      </c>
      <c r="C723" s="8" t="s">
        <v>194</v>
      </c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 spans="1:17">
      <c r="A724" s="8" t="s">
        <v>234</v>
      </c>
      <c r="B724" s="8" t="s">
        <v>195</v>
      </c>
      <c r="C724" s="8" t="s">
        <v>196</v>
      </c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 spans="1:17">
      <c r="A725" s="8" t="s">
        <v>234</v>
      </c>
      <c r="B725" s="8" t="s">
        <v>195</v>
      </c>
      <c r="C725" s="8" t="s">
        <v>197</v>
      </c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 spans="1:17">
      <c r="A726" s="8" t="s">
        <v>234</v>
      </c>
      <c r="B726" s="8" t="s">
        <v>198</v>
      </c>
      <c r="C726" s="8" t="s">
        <v>199</v>
      </c>
      <c r="D726" s="8">
        <v>2.28680051083534</v>
      </c>
      <c r="E726" s="8">
        <v>0</v>
      </c>
      <c r="F726" s="8">
        <v>0</v>
      </c>
      <c r="G726" s="8">
        <v>0</v>
      </c>
      <c r="H726" s="8">
        <v>0</v>
      </c>
      <c r="I726" s="8">
        <v>50.237524978795</v>
      </c>
      <c r="J726" s="8">
        <v>0</v>
      </c>
      <c r="K726" s="8">
        <v>0</v>
      </c>
      <c r="L726" s="8">
        <v>0</v>
      </c>
      <c r="M726" s="8">
        <v>0</v>
      </c>
    </row>
    <row r="727" spans="1:17">
      <c r="A727" s="8" t="s">
        <v>234</v>
      </c>
      <c r="B727" s="8" t="s">
        <v>36</v>
      </c>
      <c r="C727" s="8" t="s">
        <v>130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</row>
    <row r="728" spans="1:17">
      <c r="A728" s="8" t="s">
        <v>234</v>
      </c>
      <c r="B728" s="8" t="s">
        <v>200</v>
      </c>
      <c r="C728" s="8" t="s">
        <v>97</v>
      </c>
      <c r="D728" s="8">
        <v>0</v>
      </c>
      <c r="E728" s="8">
        <v>47.1817434962537</v>
      </c>
      <c r="F728" s="8">
        <v>0</v>
      </c>
      <c r="G728" s="8">
        <v>0</v>
      </c>
      <c r="H728" s="8">
        <v>0</v>
      </c>
      <c r="I728" s="8">
        <v>53.8012133006383</v>
      </c>
      <c r="J728" s="8">
        <v>227.835402256018</v>
      </c>
      <c r="K728" s="8">
        <v>9.01901823882719</v>
      </c>
      <c r="L728" s="8">
        <v>22.2659033963711</v>
      </c>
      <c r="M728" s="8">
        <v>0</v>
      </c>
    </row>
    <row r="729" spans="1:17">
      <c r="A729" s="8" t="s">
        <v>234</v>
      </c>
      <c r="B729" s="8" t="s">
        <v>200</v>
      </c>
      <c r="C729" s="8" t="s">
        <v>98</v>
      </c>
      <c r="D729" s="8">
        <v>0</v>
      </c>
      <c r="E729" s="8">
        <v>80.7147815197077</v>
      </c>
      <c r="F729" s="8">
        <v>0</v>
      </c>
      <c r="G729" s="8">
        <v>0</v>
      </c>
      <c r="H729" s="8">
        <v>0</v>
      </c>
      <c r="I729" s="8">
        <v>0</v>
      </c>
      <c r="J729" s="8">
        <v>136.008001945883</v>
      </c>
      <c r="K729" s="8">
        <v>36.0607421432502</v>
      </c>
      <c r="L729" s="8">
        <v>14.5785159152836</v>
      </c>
      <c r="M729" s="8">
        <v>0</v>
      </c>
    </row>
    <row r="730" spans="1:17">
      <c r="A730" s="8" t="s">
        <v>234</v>
      </c>
      <c r="B730" s="8" t="s">
        <v>200</v>
      </c>
      <c r="C730" s="8" t="s">
        <v>95</v>
      </c>
      <c r="D730" s="8">
        <v>0</v>
      </c>
      <c r="E730" s="8">
        <v>57.3642832748698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22.7220257499054</v>
      </c>
      <c r="L730" s="8">
        <v>17.4058169235535</v>
      </c>
      <c r="M730" s="8">
        <v>0</v>
      </c>
    </row>
    <row r="731" spans="1:17">
      <c r="A731" s="8" t="s">
        <v>234</v>
      </c>
      <c r="B731" s="8" t="s">
        <v>200</v>
      </c>
      <c r="C731" s="8" t="s">
        <v>93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spans="1:17">
      <c r="A732" s="8" t="s">
        <v>234</v>
      </c>
      <c r="B732" s="8" t="s">
        <v>200</v>
      </c>
      <c r="C732" s="8" t="s">
        <v>96</v>
      </c>
      <c r="D732" s="8">
        <v>0</v>
      </c>
      <c r="E732" s="8">
        <v>69.3574334929749</v>
      </c>
      <c r="F732" s="8">
        <v>0</v>
      </c>
      <c r="G732" s="8">
        <v>0</v>
      </c>
      <c r="H732" s="8">
        <v>0</v>
      </c>
      <c r="I732" s="8">
        <v>9.62621461513758</v>
      </c>
      <c r="J732" s="8">
        <v>0</v>
      </c>
      <c r="K732" s="8">
        <v>18.7683531589966</v>
      </c>
      <c r="L732" s="8">
        <v>25.9758243450722</v>
      </c>
      <c r="M732" s="8">
        <v>0</v>
      </c>
    </row>
    <row r="733" spans="1:17">
      <c r="A733" s="8" t="s">
        <v>234</v>
      </c>
      <c r="B733" s="8" t="s">
        <v>200</v>
      </c>
      <c r="C733" s="8" t="s">
        <v>94</v>
      </c>
      <c r="D733" s="8">
        <v>0</v>
      </c>
      <c r="E733" s="8">
        <v>9.98428554001708</v>
      </c>
      <c r="F733" s="8">
        <v>0</v>
      </c>
      <c r="G733" s="8">
        <v>0</v>
      </c>
      <c r="H733" s="8">
        <v>0</v>
      </c>
      <c r="I733" s="8">
        <v>4.27553467751809</v>
      </c>
      <c r="J733" s="8">
        <v>0</v>
      </c>
      <c r="K733" s="8">
        <v>24.4202256246841</v>
      </c>
      <c r="L733" s="8">
        <v>9.36709532748171</v>
      </c>
      <c r="M733" s="8">
        <v>0</v>
      </c>
    </row>
    <row r="734" spans="1:17">
      <c r="A734" s="8" t="s">
        <v>234</v>
      </c>
      <c r="B734" s="8" t="s">
        <v>201</v>
      </c>
      <c r="C734" s="8" t="s">
        <v>202</v>
      </c>
      <c r="D734" s="8">
        <v>0</v>
      </c>
      <c r="E734" s="8">
        <v>29.6318657827464</v>
      </c>
      <c r="F734" s="8">
        <v>0</v>
      </c>
      <c r="G734" s="8">
        <v>18.406127889685</v>
      </c>
      <c r="H734" s="8">
        <v>0</v>
      </c>
      <c r="I734" s="8">
        <v>146.564741579378</v>
      </c>
      <c r="J734" s="8">
        <v>202.794430245043</v>
      </c>
      <c r="K734" s="8">
        <v>0</v>
      </c>
      <c r="L734" s="8">
        <v>17.8390344997449</v>
      </c>
      <c r="M734" s="8">
        <v>0</v>
      </c>
    </row>
    <row r="736" spans="1:17">
      <c r="N736" s="11" t="s">
        <v>203</v>
      </c>
      <c r="O736" s="11" t="s">
        <v>203</v>
      </c>
      <c r="P736" s="11" t="s">
        <v>204</v>
      </c>
      <c r="Q736" s="11" t="s">
        <v>204</v>
      </c>
    </row>
    <row r="737" spans="1:17">
      <c r="B737" s="8" t="s">
        <v>234</v>
      </c>
      <c r="C737" s="8" t="s">
        <v>188</v>
      </c>
      <c r="D737" s="8">
        <f t="shared" ref="D737:M737" si="330">D720</f>
        <v>0</v>
      </c>
      <c r="E737" s="8">
        <f t="shared" si="330"/>
        <v>0</v>
      </c>
      <c r="F737" s="8">
        <f t="shared" si="330"/>
        <v>0</v>
      </c>
      <c r="G737" s="8">
        <f t="shared" si="330"/>
        <v>0</v>
      </c>
      <c r="H737" s="8">
        <f t="shared" si="330"/>
        <v>0</v>
      </c>
      <c r="I737" s="8">
        <f t="shared" si="330"/>
        <v>0</v>
      </c>
      <c r="J737" s="8">
        <f t="shared" si="330"/>
        <v>0</v>
      </c>
      <c r="K737" s="8">
        <f t="shared" si="330"/>
        <v>0</v>
      </c>
      <c r="L737" s="8">
        <f t="shared" si="330"/>
        <v>0</v>
      </c>
      <c r="M737" s="8">
        <f t="shared" si="330"/>
        <v>0</v>
      </c>
      <c r="N737" s="8">
        <f t="shared" ref="N737:N744" si="331">AVERAGE(D737:H737)</f>
        <v>0</v>
      </c>
      <c r="O737" s="8">
        <f t="shared" ref="O737:O744" si="332">AVERAGE(I737:M737)</f>
        <v>0</v>
      </c>
      <c r="P737" s="8">
        <f t="shared" ref="P737:P744" si="333">LOG(N737+1,2)</f>
        <v>0</v>
      </c>
      <c r="Q737" s="8">
        <f t="shared" ref="Q737:Q744" si="334">LOG(O737+1,2)</f>
        <v>0</v>
      </c>
    </row>
    <row r="738" spans="1:17">
      <c r="B738" s="8" t="s">
        <v>234</v>
      </c>
      <c r="C738" s="8" t="s">
        <v>190</v>
      </c>
      <c r="D738" s="8">
        <f t="shared" ref="D738:M738" si="335">D721</f>
        <v>9.01415651826328</v>
      </c>
      <c r="E738" s="8">
        <f t="shared" si="335"/>
        <v>0</v>
      </c>
      <c r="F738" s="8">
        <f t="shared" si="335"/>
        <v>0</v>
      </c>
      <c r="G738" s="8">
        <f t="shared" si="335"/>
        <v>0</v>
      </c>
      <c r="H738" s="8">
        <f t="shared" si="335"/>
        <v>0</v>
      </c>
      <c r="I738" s="8">
        <f t="shared" si="335"/>
        <v>0</v>
      </c>
      <c r="J738" s="8">
        <f t="shared" si="335"/>
        <v>17.3108916357692</v>
      </c>
      <c r="K738" s="8">
        <f t="shared" si="335"/>
        <v>0</v>
      </c>
      <c r="L738" s="8">
        <f t="shared" si="335"/>
        <v>0</v>
      </c>
      <c r="M738" s="8">
        <f t="shared" si="335"/>
        <v>0</v>
      </c>
      <c r="N738" s="8">
        <f t="shared" si="331"/>
        <v>1.80283130365266</v>
      </c>
      <c r="O738" s="8">
        <f t="shared" si="332"/>
        <v>3.46217832715383</v>
      </c>
      <c r="P738" s="8">
        <f t="shared" si="333"/>
        <v>1.48688491429272</v>
      </c>
      <c r="Q738" s="8">
        <f t="shared" si="334"/>
        <v>2.1577481708119</v>
      </c>
    </row>
    <row r="739" spans="1:17">
      <c r="B739" s="8" t="s">
        <v>234</v>
      </c>
      <c r="C739" s="8" t="s">
        <v>192</v>
      </c>
      <c r="D739" s="8">
        <f t="shared" ref="D739:M739" si="336">D722+D723</f>
        <v>0</v>
      </c>
      <c r="E739" s="8">
        <f t="shared" si="336"/>
        <v>0</v>
      </c>
      <c r="F739" s="8">
        <f t="shared" si="336"/>
        <v>0</v>
      </c>
      <c r="G739" s="8">
        <f t="shared" si="336"/>
        <v>0</v>
      </c>
      <c r="H739" s="8">
        <f t="shared" si="336"/>
        <v>0</v>
      </c>
      <c r="I739" s="8">
        <f t="shared" si="336"/>
        <v>0</v>
      </c>
      <c r="J739" s="8">
        <f t="shared" si="336"/>
        <v>0</v>
      </c>
      <c r="K739" s="8">
        <f t="shared" si="336"/>
        <v>0</v>
      </c>
      <c r="L739" s="8">
        <f t="shared" si="336"/>
        <v>0</v>
      </c>
      <c r="M739" s="8">
        <f t="shared" si="336"/>
        <v>0</v>
      </c>
      <c r="N739" s="8">
        <f t="shared" si="331"/>
        <v>0</v>
      </c>
      <c r="O739" s="8">
        <f t="shared" si="332"/>
        <v>0</v>
      </c>
      <c r="P739" s="8">
        <f t="shared" si="333"/>
        <v>0</v>
      </c>
      <c r="Q739" s="8">
        <f t="shared" si="334"/>
        <v>0</v>
      </c>
    </row>
    <row r="740" spans="1:17">
      <c r="B740" s="8" t="s">
        <v>234</v>
      </c>
      <c r="C740" s="8" t="s">
        <v>195</v>
      </c>
      <c r="D740" s="8">
        <f t="shared" ref="D740:M740" si="337">SUM(D724:D725)</f>
        <v>0</v>
      </c>
      <c r="E740" s="8">
        <f t="shared" si="337"/>
        <v>0</v>
      </c>
      <c r="F740" s="8">
        <f t="shared" si="337"/>
        <v>0</v>
      </c>
      <c r="G740" s="8">
        <f t="shared" si="337"/>
        <v>0</v>
      </c>
      <c r="H740" s="8">
        <f t="shared" si="337"/>
        <v>0</v>
      </c>
      <c r="I740" s="8">
        <f t="shared" si="337"/>
        <v>0</v>
      </c>
      <c r="J740" s="8">
        <f t="shared" si="337"/>
        <v>0</v>
      </c>
      <c r="K740" s="8">
        <f t="shared" si="337"/>
        <v>0</v>
      </c>
      <c r="L740" s="8">
        <f t="shared" si="337"/>
        <v>0</v>
      </c>
      <c r="M740" s="8">
        <f t="shared" si="337"/>
        <v>0</v>
      </c>
      <c r="N740" s="8">
        <f t="shared" si="331"/>
        <v>0</v>
      </c>
      <c r="O740" s="8">
        <f t="shared" si="332"/>
        <v>0</v>
      </c>
      <c r="P740" s="8">
        <f t="shared" si="333"/>
        <v>0</v>
      </c>
      <c r="Q740" s="8">
        <f t="shared" si="334"/>
        <v>0</v>
      </c>
    </row>
    <row r="741" spans="1:17">
      <c r="B741" s="8" t="s">
        <v>234</v>
      </c>
      <c r="C741" s="8" t="s">
        <v>198</v>
      </c>
      <c r="D741" s="8">
        <f t="shared" ref="D741:M741" si="338">D726</f>
        <v>2.28680051083534</v>
      </c>
      <c r="E741" s="8">
        <f t="shared" si="338"/>
        <v>0</v>
      </c>
      <c r="F741" s="8">
        <f t="shared" si="338"/>
        <v>0</v>
      </c>
      <c r="G741" s="8">
        <f t="shared" si="338"/>
        <v>0</v>
      </c>
      <c r="H741" s="8">
        <f t="shared" si="338"/>
        <v>0</v>
      </c>
      <c r="I741" s="8">
        <f t="shared" si="338"/>
        <v>50.237524978795</v>
      </c>
      <c r="J741" s="8">
        <f t="shared" si="338"/>
        <v>0</v>
      </c>
      <c r="K741" s="8">
        <f t="shared" si="338"/>
        <v>0</v>
      </c>
      <c r="L741" s="8">
        <f t="shared" si="338"/>
        <v>0</v>
      </c>
      <c r="M741" s="8">
        <f t="shared" si="338"/>
        <v>0</v>
      </c>
      <c r="N741" s="8">
        <f t="shared" si="331"/>
        <v>0.457360102167068</v>
      </c>
      <c r="O741" s="8">
        <f t="shared" si="332"/>
        <v>10.047504995759</v>
      </c>
      <c r="P741" s="8">
        <f t="shared" si="333"/>
        <v>0.543357399997489</v>
      </c>
      <c r="Q741" s="8">
        <f t="shared" si="334"/>
        <v>3.46564867837921</v>
      </c>
    </row>
    <row r="742" spans="1:17">
      <c r="B742" s="8" t="s">
        <v>234</v>
      </c>
      <c r="C742" s="8" t="s">
        <v>36</v>
      </c>
      <c r="D742" s="8">
        <f t="shared" ref="D742:M742" si="339">D727</f>
        <v>0</v>
      </c>
      <c r="E742" s="8">
        <f t="shared" si="339"/>
        <v>0</v>
      </c>
      <c r="F742" s="8">
        <f t="shared" si="339"/>
        <v>0</v>
      </c>
      <c r="G742" s="8">
        <f t="shared" si="339"/>
        <v>0</v>
      </c>
      <c r="H742" s="8">
        <f t="shared" si="339"/>
        <v>0</v>
      </c>
      <c r="I742" s="8">
        <f t="shared" si="339"/>
        <v>0</v>
      </c>
      <c r="J742" s="8">
        <f t="shared" si="339"/>
        <v>0</v>
      </c>
      <c r="K742" s="8">
        <f t="shared" si="339"/>
        <v>0</v>
      </c>
      <c r="L742" s="8">
        <f t="shared" si="339"/>
        <v>0</v>
      </c>
      <c r="M742" s="8">
        <f t="shared" si="339"/>
        <v>0</v>
      </c>
      <c r="N742" s="8">
        <f t="shared" si="331"/>
        <v>0</v>
      </c>
      <c r="O742" s="8">
        <f t="shared" si="332"/>
        <v>0</v>
      </c>
      <c r="P742" s="8">
        <f t="shared" si="333"/>
        <v>0</v>
      </c>
      <c r="Q742" s="8">
        <f t="shared" si="334"/>
        <v>0</v>
      </c>
    </row>
    <row r="743" spans="1:17">
      <c r="B743" s="8" t="s">
        <v>234</v>
      </c>
      <c r="C743" s="8" t="s">
        <v>200</v>
      </c>
      <c r="D743" s="8">
        <f t="shared" ref="D743:M743" si="340">SUM(D728:D733)</f>
        <v>0</v>
      </c>
      <c r="E743" s="8">
        <f t="shared" si="340"/>
        <v>264.602527323823</v>
      </c>
      <c r="F743" s="8">
        <f t="shared" si="340"/>
        <v>0</v>
      </c>
      <c r="G743" s="8">
        <f t="shared" si="340"/>
        <v>0</v>
      </c>
      <c r="H743" s="8">
        <f t="shared" si="340"/>
        <v>0</v>
      </c>
      <c r="I743" s="8">
        <f t="shared" si="340"/>
        <v>67.702962593294</v>
      </c>
      <c r="J743" s="8">
        <f t="shared" si="340"/>
        <v>363.843404201901</v>
      </c>
      <c r="K743" s="8">
        <f t="shared" si="340"/>
        <v>110.990364915663</v>
      </c>
      <c r="L743" s="8">
        <f t="shared" si="340"/>
        <v>89.5931559077621</v>
      </c>
      <c r="M743" s="8">
        <f t="shared" si="340"/>
        <v>0</v>
      </c>
      <c r="N743" s="8">
        <f t="shared" si="331"/>
        <v>52.9205054647646</v>
      </c>
      <c r="O743" s="8">
        <f t="shared" si="332"/>
        <v>126.425977523724</v>
      </c>
      <c r="P743" s="8">
        <f t="shared" si="333"/>
        <v>5.75276211566699</v>
      </c>
      <c r="Q743" s="8">
        <f t="shared" si="334"/>
        <v>6.99351561041625</v>
      </c>
    </row>
    <row r="744" spans="1:17">
      <c r="B744" s="8" t="s">
        <v>234</v>
      </c>
      <c r="C744" s="8" t="s">
        <v>201</v>
      </c>
      <c r="D744" s="8">
        <f t="shared" ref="D744:M744" si="341">D734</f>
        <v>0</v>
      </c>
      <c r="E744" s="8">
        <f t="shared" si="341"/>
        <v>29.6318657827464</v>
      </c>
      <c r="F744" s="8">
        <f t="shared" si="341"/>
        <v>0</v>
      </c>
      <c r="G744" s="8">
        <f t="shared" si="341"/>
        <v>18.406127889685</v>
      </c>
      <c r="H744" s="8">
        <f t="shared" si="341"/>
        <v>0</v>
      </c>
      <c r="I744" s="8">
        <f t="shared" si="341"/>
        <v>146.564741579378</v>
      </c>
      <c r="J744" s="8">
        <f t="shared" si="341"/>
        <v>202.794430245043</v>
      </c>
      <c r="K744" s="8">
        <f t="shared" si="341"/>
        <v>0</v>
      </c>
      <c r="L744" s="8">
        <f t="shared" si="341"/>
        <v>17.8390344997449</v>
      </c>
      <c r="M744" s="8">
        <f t="shared" si="341"/>
        <v>0</v>
      </c>
      <c r="N744" s="8">
        <f t="shared" si="331"/>
        <v>9.60759873448628</v>
      </c>
      <c r="O744" s="8">
        <f t="shared" si="332"/>
        <v>73.4396412648332</v>
      </c>
      <c r="P744" s="8">
        <f t="shared" si="333"/>
        <v>3.40702620204213</v>
      </c>
      <c r="Q744" s="8">
        <f t="shared" si="334"/>
        <v>6.21799919774959</v>
      </c>
    </row>
    <row r="747" spans="1:17">
      <c r="A747" s="8" t="s">
        <v>235</v>
      </c>
      <c r="B747" s="8" t="s">
        <v>188</v>
      </c>
      <c r="C747" s="8" t="s">
        <v>189</v>
      </c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 spans="1:17">
      <c r="A748" s="8" t="s">
        <v>235</v>
      </c>
      <c r="B748" s="8" t="s">
        <v>190</v>
      </c>
      <c r="C748" s="8" t="s">
        <v>191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 spans="1:17">
      <c r="A749" s="8" t="s">
        <v>235</v>
      </c>
      <c r="B749" s="8" t="s">
        <v>192</v>
      </c>
      <c r="C749" s="8" t="s">
        <v>193</v>
      </c>
      <c r="D749" s="8">
        <v>0</v>
      </c>
      <c r="E749" s="8">
        <v>10.6182096850048</v>
      </c>
      <c r="F749" s="8">
        <v>0</v>
      </c>
      <c r="G749" s="8">
        <v>2.42481357779431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23.507738989947</v>
      </c>
    </row>
    <row r="750" spans="1:17">
      <c r="A750" s="8" t="s">
        <v>235</v>
      </c>
      <c r="B750" s="8" t="s">
        <v>192</v>
      </c>
      <c r="C750" s="8" t="s">
        <v>194</v>
      </c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 spans="1:17">
      <c r="A751" s="8" t="s">
        <v>235</v>
      </c>
      <c r="B751" s="8" t="s">
        <v>195</v>
      </c>
      <c r="C751" s="8" t="s">
        <v>196</v>
      </c>
      <c r="D751" s="8">
        <v>0</v>
      </c>
      <c r="E751" s="8">
        <v>0</v>
      </c>
      <c r="F751" s="8">
        <v>0</v>
      </c>
      <c r="G751" s="8">
        <v>0.126247928904956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</row>
    <row r="752" spans="1:17">
      <c r="A752" s="8" t="s">
        <v>235</v>
      </c>
      <c r="B752" s="8" t="s">
        <v>195</v>
      </c>
      <c r="C752" s="8" t="s">
        <v>197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</row>
    <row r="753" spans="1:17">
      <c r="A753" s="8" t="s">
        <v>235</v>
      </c>
      <c r="B753" s="8" t="s">
        <v>198</v>
      </c>
      <c r="C753" s="8" t="s">
        <v>199</v>
      </c>
      <c r="D753" s="8">
        <v>0</v>
      </c>
      <c r="E753" s="8">
        <v>0</v>
      </c>
      <c r="F753" s="8">
        <v>0</v>
      </c>
      <c r="G753" s="8">
        <v>10.2569510673637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93.3086141048042</v>
      </c>
    </row>
    <row r="754" spans="1:17">
      <c r="A754" s="8" t="s">
        <v>235</v>
      </c>
      <c r="B754" s="8" t="s">
        <v>36</v>
      </c>
      <c r="C754" s="8" t="s">
        <v>130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</row>
    <row r="755" spans="1:17">
      <c r="A755" s="8" t="s">
        <v>235</v>
      </c>
      <c r="B755" s="8" t="s">
        <v>200</v>
      </c>
      <c r="C755" s="8" t="s">
        <v>97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6.76425452266027</v>
      </c>
      <c r="L755" s="8">
        <v>0</v>
      </c>
      <c r="M755" s="8">
        <v>0</v>
      </c>
    </row>
    <row r="756" spans="1:17">
      <c r="A756" s="8" t="s">
        <v>235</v>
      </c>
      <c r="B756" s="8" t="s">
        <v>200</v>
      </c>
      <c r="C756" s="8" t="s">
        <v>98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5.89766498519948</v>
      </c>
      <c r="K756" s="8">
        <v>0</v>
      </c>
      <c r="L756" s="8">
        <v>0</v>
      </c>
      <c r="M756" s="8">
        <v>0</v>
      </c>
    </row>
    <row r="757" spans="1:17">
      <c r="A757" s="8" t="s">
        <v>235</v>
      </c>
      <c r="B757" s="8" t="s">
        <v>200</v>
      </c>
      <c r="C757" s="8" t="s">
        <v>95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2.56287376652149</v>
      </c>
      <c r="L757" s="8">
        <v>0</v>
      </c>
      <c r="M757" s="8">
        <v>0</v>
      </c>
    </row>
    <row r="758" spans="1:17">
      <c r="A758" s="8" t="s">
        <v>235</v>
      </c>
      <c r="B758" s="8" t="s">
        <v>200</v>
      </c>
      <c r="C758" s="8" t="s">
        <v>93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4.43875579579603</v>
      </c>
      <c r="L758" s="8">
        <v>0</v>
      </c>
      <c r="M758" s="8">
        <v>0</v>
      </c>
    </row>
    <row r="759" spans="1:17">
      <c r="A759" s="8" t="s">
        <v>235</v>
      </c>
      <c r="B759" s="8" t="s">
        <v>200</v>
      </c>
      <c r="C759" s="8" t="s">
        <v>96</v>
      </c>
      <c r="D759" s="8">
        <v>0</v>
      </c>
      <c r="E759" s="8">
        <v>0</v>
      </c>
      <c r="F759" s="8">
        <v>0</v>
      </c>
      <c r="G759" s="8">
        <v>10.477</v>
      </c>
      <c r="H759" s="8">
        <v>0</v>
      </c>
      <c r="I759" s="8">
        <v>7.93223646680878</v>
      </c>
      <c r="J759" s="8">
        <v>0</v>
      </c>
      <c r="K759" s="8">
        <v>0</v>
      </c>
      <c r="L759" s="8">
        <v>37.0610377873681</v>
      </c>
      <c r="M759" s="8">
        <v>0</v>
      </c>
    </row>
    <row r="760" spans="1:17">
      <c r="A760" s="8" t="s">
        <v>235</v>
      </c>
      <c r="B760" s="8" t="s">
        <v>200</v>
      </c>
      <c r="C760" s="8" t="s">
        <v>94</v>
      </c>
      <c r="D760" s="8">
        <v>0</v>
      </c>
      <c r="E760" s="8">
        <v>0</v>
      </c>
      <c r="F760" s="8">
        <v>0</v>
      </c>
      <c r="G760" s="8">
        <v>15.7154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</row>
    <row r="761" spans="1:17">
      <c r="A761" s="8" t="s">
        <v>235</v>
      </c>
      <c r="B761" s="8" t="s">
        <v>201</v>
      </c>
      <c r="C761" s="8" t="s">
        <v>202</v>
      </c>
      <c r="D761" s="8">
        <v>0</v>
      </c>
      <c r="E761" s="8">
        <v>0</v>
      </c>
      <c r="F761" s="8">
        <v>0</v>
      </c>
      <c r="G761" s="8">
        <v>0</v>
      </c>
      <c r="H761" s="8">
        <v>1.82657772977482</v>
      </c>
      <c r="I761" s="8">
        <v>0</v>
      </c>
      <c r="J761" s="8">
        <v>0</v>
      </c>
      <c r="K761" s="8">
        <v>0</v>
      </c>
      <c r="L761" s="8">
        <v>2.72653521851083</v>
      </c>
      <c r="M761" s="8">
        <v>29.4066114023841</v>
      </c>
    </row>
    <row r="763" spans="1:17">
      <c r="N763" s="11" t="s">
        <v>203</v>
      </c>
      <c r="O763" s="11" t="s">
        <v>203</v>
      </c>
      <c r="P763" s="11" t="s">
        <v>204</v>
      </c>
      <c r="Q763" s="11" t="s">
        <v>204</v>
      </c>
    </row>
    <row r="764" spans="1:17">
      <c r="B764" s="8" t="s">
        <v>235</v>
      </c>
      <c r="C764" s="8" t="s">
        <v>188</v>
      </c>
      <c r="D764" s="8">
        <f t="shared" ref="D764:M764" si="342">D747</f>
        <v>0</v>
      </c>
      <c r="E764" s="8">
        <f t="shared" si="342"/>
        <v>0</v>
      </c>
      <c r="F764" s="8">
        <f t="shared" si="342"/>
        <v>0</v>
      </c>
      <c r="G764" s="8">
        <f t="shared" si="342"/>
        <v>0</v>
      </c>
      <c r="H764" s="8">
        <f t="shared" si="342"/>
        <v>0</v>
      </c>
      <c r="I764" s="8">
        <f t="shared" si="342"/>
        <v>0</v>
      </c>
      <c r="J764" s="8">
        <f t="shared" si="342"/>
        <v>0</v>
      </c>
      <c r="K764" s="8">
        <f t="shared" si="342"/>
        <v>0</v>
      </c>
      <c r="L764" s="8">
        <f t="shared" si="342"/>
        <v>0</v>
      </c>
      <c r="M764" s="8">
        <f t="shared" si="342"/>
        <v>0</v>
      </c>
      <c r="N764" s="8">
        <f t="shared" ref="N764:N771" si="343">AVERAGE(D764:H764)</f>
        <v>0</v>
      </c>
      <c r="O764" s="8">
        <f t="shared" ref="O764:O771" si="344">AVERAGE(I764:M764)</f>
        <v>0</v>
      </c>
      <c r="P764" s="8">
        <f t="shared" ref="P764:P771" si="345">LOG(N764+1,2)</f>
        <v>0</v>
      </c>
      <c r="Q764" s="8">
        <f t="shared" ref="Q764:Q771" si="346">LOG(O764+1,2)</f>
        <v>0</v>
      </c>
    </row>
    <row r="765" spans="1:17">
      <c r="B765" s="8" t="s">
        <v>235</v>
      </c>
      <c r="C765" s="8" t="s">
        <v>190</v>
      </c>
      <c r="D765" s="8">
        <f t="shared" ref="D765:M765" si="347">D748</f>
        <v>0</v>
      </c>
      <c r="E765" s="8">
        <f t="shared" si="347"/>
        <v>0</v>
      </c>
      <c r="F765" s="8">
        <f t="shared" si="347"/>
        <v>0</v>
      </c>
      <c r="G765" s="8">
        <f t="shared" si="347"/>
        <v>0</v>
      </c>
      <c r="H765" s="8">
        <f t="shared" si="347"/>
        <v>0</v>
      </c>
      <c r="I765" s="8">
        <f t="shared" si="347"/>
        <v>0</v>
      </c>
      <c r="J765" s="8">
        <f t="shared" si="347"/>
        <v>0</v>
      </c>
      <c r="K765" s="8">
        <f t="shared" si="347"/>
        <v>0</v>
      </c>
      <c r="L765" s="8">
        <f t="shared" si="347"/>
        <v>0</v>
      </c>
      <c r="M765" s="8">
        <f t="shared" si="347"/>
        <v>0</v>
      </c>
      <c r="N765" s="8">
        <f t="shared" si="343"/>
        <v>0</v>
      </c>
      <c r="O765" s="8">
        <f t="shared" si="344"/>
        <v>0</v>
      </c>
      <c r="P765" s="8">
        <f t="shared" si="345"/>
        <v>0</v>
      </c>
      <c r="Q765" s="8">
        <f t="shared" si="346"/>
        <v>0</v>
      </c>
    </row>
    <row r="766" spans="1:17">
      <c r="B766" s="8" t="s">
        <v>235</v>
      </c>
      <c r="C766" s="8" t="s">
        <v>192</v>
      </c>
      <c r="D766" s="8">
        <f t="shared" ref="D766:M766" si="348">D749+D750</f>
        <v>0</v>
      </c>
      <c r="E766" s="8">
        <f t="shared" si="348"/>
        <v>10.6182096850048</v>
      </c>
      <c r="F766" s="8">
        <f t="shared" si="348"/>
        <v>0</v>
      </c>
      <c r="G766" s="8">
        <f t="shared" si="348"/>
        <v>2.42481357779431</v>
      </c>
      <c r="H766" s="8">
        <f t="shared" si="348"/>
        <v>0</v>
      </c>
      <c r="I766" s="8">
        <f t="shared" si="348"/>
        <v>0</v>
      </c>
      <c r="J766" s="8">
        <f t="shared" si="348"/>
        <v>0</v>
      </c>
      <c r="K766" s="8">
        <f t="shared" si="348"/>
        <v>0</v>
      </c>
      <c r="L766" s="8">
        <f t="shared" si="348"/>
        <v>0</v>
      </c>
      <c r="M766" s="8">
        <f t="shared" si="348"/>
        <v>23.507738989947</v>
      </c>
      <c r="N766" s="8">
        <f t="shared" si="343"/>
        <v>2.60860465255982</v>
      </c>
      <c r="O766" s="8">
        <f t="shared" si="344"/>
        <v>4.70154779798939</v>
      </c>
      <c r="P766" s="8">
        <f t="shared" si="345"/>
        <v>1.85144109473584</v>
      </c>
      <c r="Q766" s="8">
        <f t="shared" si="346"/>
        <v>2.51135362056862</v>
      </c>
    </row>
    <row r="767" spans="1:17">
      <c r="B767" s="8" t="s">
        <v>235</v>
      </c>
      <c r="C767" s="8" t="s">
        <v>195</v>
      </c>
      <c r="D767" s="8">
        <f t="shared" ref="D767:M767" si="349">SUM(D751:D752)</f>
        <v>0</v>
      </c>
      <c r="E767" s="8">
        <f t="shared" si="349"/>
        <v>0</v>
      </c>
      <c r="F767" s="8">
        <f t="shared" si="349"/>
        <v>0</v>
      </c>
      <c r="G767" s="8">
        <f t="shared" si="349"/>
        <v>0.126247928904956</v>
      </c>
      <c r="H767" s="8">
        <f t="shared" si="349"/>
        <v>0</v>
      </c>
      <c r="I767" s="8">
        <f t="shared" si="349"/>
        <v>0</v>
      </c>
      <c r="J767" s="8">
        <f t="shared" si="349"/>
        <v>0</v>
      </c>
      <c r="K767" s="8">
        <f t="shared" si="349"/>
        <v>0</v>
      </c>
      <c r="L767" s="8">
        <f t="shared" si="349"/>
        <v>0</v>
      </c>
      <c r="M767" s="8">
        <f t="shared" si="349"/>
        <v>0</v>
      </c>
      <c r="N767" s="8">
        <f t="shared" si="343"/>
        <v>0.0252495857809912</v>
      </c>
      <c r="O767" s="8">
        <f t="shared" si="344"/>
        <v>0</v>
      </c>
      <c r="P767" s="8">
        <f t="shared" si="345"/>
        <v>0.0359751607908734</v>
      </c>
      <c r="Q767" s="8">
        <f t="shared" si="346"/>
        <v>0</v>
      </c>
    </row>
    <row r="768" spans="1:17">
      <c r="B768" s="8" t="s">
        <v>235</v>
      </c>
      <c r="C768" s="8" t="s">
        <v>198</v>
      </c>
      <c r="D768" s="8">
        <f t="shared" ref="D768:M768" si="350">D753</f>
        <v>0</v>
      </c>
      <c r="E768" s="8">
        <f t="shared" si="350"/>
        <v>0</v>
      </c>
      <c r="F768" s="8">
        <f t="shared" si="350"/>
        <v>0</v>
      </c>
      <c r="G768" s="8">
        <f t="shared" si="350"/>
        <v>10.2569510673637</v>
      </c>
      <c r="H768" s="8">
        <f t="shared" si="350"/>
        <v>0</v>
      </c>
      <c r="I768" s="8">
        <f t="shared" si="350"/>
        <v>0</v>
      </c>
      <c r="J768" s="8">
        <f t="shared" si="350"/>
        <v>0</v>
      </c>
      <c r="K768" s="8">
        <f t="shared" si="350"/>
        <v>0</v>
      </c>
      <c r="L768" s="8">
        <f t="shared" si="350"/>
        <v>0</v>
      </c>
      <c r="M768" s="8">
        <f t="shared" si="350"/>
        <v>93.3086141048042</v>
      </c>
      <c r="N768" s="8">
        <f t="shared" si="343"/>
        <v>2.05139021347274</v>
      </c>
      <c r="O768" s="8">
        <f t="shared" si="344"/>
        <v>18.6617228209608</v>
      </c>
      <c r="P768" s="8">
        <f t="shared" si="345"/>
        <v>1.609466684356</v>
      </c>
      <c r="Q768" s="8">
        <f t="shared" si="346"/>
        <v>4.29731783550581</v>
      </c>
    </row>
    <row r="769" spans="1:17">
      <c r="B769" s="8" t="s">
        <v>235</v>
      </c>
      <c r="C769" s="8" t="s">
        <v>36</v>
      </c>
      <c r="D769" s="8">
        <f t="shared" ref="D769:M769" si="351">D754</f>
        <v>0</v>
      </c>
      <c r="E769" s="8">
        <f t="shared" si="351"/>
        <v>0</v>
      </c>
      <c r="F769" s="8">
        <f t="shared" si="351"/>
        <v>0</v>
      </c>
      <c r="G769" s="8">
        <f t="shared" si="351"/>
        <v>0</v>
      </c>
      <c r="H769" s="8">
        <f t="shared" si="351"/>
        <v>0</v>
      </c>
      <c r="I769" s="8">
        <f t="shared" si="351"/>
        <v>0</v>
      </c>
      <c r="J769" s="8">
        <f t="shared" si="351"/>
        <v>0</v>
      </c>
      <c r="K769" s="8">
        <f t="shared" si="351"/>
        <v>0</v>
      </c>
      <c r="L769" s="8">
        <f t="shared" si="351"/>
        <v>0</v>
      </c>
      <c r="M769" s="8">
        <f t="shared" si="351"/>
        <v>0</v>
      </c>
      <c r="N769" s="8">
        <f t="shared" si="343"/>
        <v>0</v>
      </c>
      <c r="O769" s="8">
        <f t="shared" si="344"/>
        <v>0</v>
      </c>
      <c r="P769" s="8">
        <f t="shared" si="345"/>
        <v>0</v>
      </c>
      <c r="Q769" s="8">
        <f t="shared" si="346"/>
        <v>0</v>
      </c>
    </row>
    <row r="770" spans="1:17">
      <c r="B770" s="8" t="s">
        <v>235</v>
      </c>
      <c r="C770" s="8" t="s">
        <v>200</v>
      </c>
      <c r="D770" s="8">
        <f t="shared" ref="D770:M770" si="352">SUM(D755:D760)</f>
        <v>0</v>
      </c>
      <c r="E770" s="8">
        <f t="shared" si="352"/>
        <v>0</v>
      </c>
      <c r="F770" s="8">
        <f t="shared" si="352"/>
        <v>0</v>
      </c>
      <c r="G770" s="8">
        <f t="shared" si="352"/>
        <v>26.1924</v>
      </c>
      <c r="H770" s="8">
        <f t="shared" si="352"/>
        <v>0</v>
      </c>
      <c r="I770" s="8">
        <f t="shared" si="352"/>
        <v>7.93223646680878</v>
      </c>
      <c r="J770" s="8">
        <f t="shared" si="352"/>
        <v>5.89766498519948</v>
      </c>
      <c r="K770" s="8">
        <f t="shared" si="352"/>
        <v>13.7658840849778</v>
      </c>
      <c r="L770" s="8">
        <f t="shared" si="352"/>
        <v>37.0610377873681</v>
      </c>
      <c r="M770" s="8">
        <f t="shared" si="352"/>
        <v>0</v>
      </c>
      <c r="N770" s="8">
        <f t="shared" si="343"/>
        <v>5.23848</v>
      </c>
      <c r="O770" s="8">
        <f t="shared" si="344"/>
        <v>12.9313646648708</v>
      </c>
      <c r="P770" s="8">
        <f t="shared" si="345"/>
        <v>2.64119456056363</v>
      </c>
      <c r="Q770" s="8">
        <f t="shared" si="346"/>
        <v>3.80026468081006</v>
      </c>
    </row>
    <row r="771" spans="1:17">
      <c r="B771" s="8" t="s">
        <v>235</v>
      </c>
      <c r="C771" s="8" t="s">
        <v>201</v>
      </c>
      <c r="D771" s="8">
        <f t="shared" ref="D771:M771" si="353">D761</f>
        <v>0</v>
      </c>
      <c r="E771" s="8">
        <f t="shared" si="353"/>
        <v>0</v>
      </c>
      <c r="F771" s="8">
        <f t="shared" si="353"/>
        <v>0</v>
      </c>
      <c r="G771" s="8">
        <f t="shared" si="353"/>
        <v>0</v>
      </c>
      <c r="H771" s="8">
        <f t="shared" si="353"/>
        <v>1.82657772977482</v>
      </c>
      <c r="I771" s="8">
        <f t="shared" si="353"/>
        <v>0</v>
      </c>
      <c r="J771" s="8">
        <f t="shared" si="353"/>
        <v>0</v>
      </c>
      <c r="K771" s="8">
        <f t="shared" si="353"/>
        <v>0</v>
      </c>
      <c r="L771" s="8">
        <f t="shared" si="353"/>
        <v>2.72653521851083</v>
      </c>
      <c r="M771" s="8">
        <f t="shared" si="353"/>
        <v>29.4066114023841</v>
      </c>
      <c r="N771" s="8">
        <f t="shared" si="343"/>
        <v>0.365315545954964</v>
      </c>
      <c r="O771" s="8">
        <f t="shared" si="344"/>
        <v>6.42662932417898</v>
      </c>
      <c r="P771" s="8">
        <f t="shared" si="345"/>
        <v>0.449234419258072</v>
      </c>
      <c r="Q771" s="8">
        <f t="shared" si="346"/>
        <v>2.89270757272064</v>
      </c>
    </row>
    <row r="774" spans="1:17">
      <c r="A774" s="8" t="s">
        <v>236</v>
      </c>
      <c r="B774" s="8" t="s">
        <v>188</v>
      </c>
      <c r="C774" s="8" t="s">
        <v>189</v>
      </c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 spans="1:17">
      <c r="A775" s="8" t="s">
        <v>236</v>
      </c>
      <c r="B775" s="8" t="s">
        <v>190</v>
      </c>
      <c r="C775" s="8" t="s">
        <v>191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 spans="1:17">
      <c r="A776" s="8" t="s">
        <v>236</v>
      </c>
      <c r="B776" s="8" t="s">
        <v>192</v>
      </c>
      <c r="C776" s="8" t="s">
        <v>193</v>
      </c>
      <c r="D776" s="8">
        <v>0</v>
      </c>
      <c r="E776" s="8">
        <v>0</v>
      </c>
      <c r="F776" s="8">
        <v>0</v>
      </c>
      <c r="G776" s="8">
        <v>12.1277090719597</v>
      </c>
      <c r="H776" s="8">
        <v>0</v>
      </c>
      <c r="I776" s="8">
        <v>0</v>
      </c>
      <c r="J776" s="8">
        <v>4.67953276924819</v>
      </c>
      <c r="K776" s="8">
        <v>0</v>
      </c>
      <c r="L776" s="8">
        <v>15.8940022469968</v>
      </c>
      <c r="M776" s="8">
        <v>0</v>
      </c>
    </row>
    <row r="777" spans="1:17">
      <c r="A777" s="8" t="s">
        <v>236</v>
      </c>
      <c r="B777" s="8" t="s">
        <v>192</v>
      </c>
      <c r="C777" s="8" t="s">
        <v>194</v>
      </c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 spans="1:17">
      <c r="A778" s="8" t="s">
        <v>236</v>
      </c>
      <c r="B778" s="8" t="s">
        <v>195</v>
      </c>
      <c r="C778" s="8" t="s">
        <v>196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 spans="1:17">
      <c r="A779" s="8" t="s">
        <v>236</v>
      </c>
      <c r="B779" s="8" t="s">
        <v>195</v>
      </c>
      <c r="C779" s="8" t="s">
        <v>197</v>
      </c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 spans="1:17">
      <c r="A780" s="8" t="s">
        <v>236</v>
      </c>
      <c r="B780" s="8" t="s">
        <v>198</v>
      </c>
      <c r="C780" s="8" t="s">
        <v>199</v>
      </c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 spans="1:17">
      <c r="A781" s="8" t="s">
        <v>236</v>
      </c>
      <c r="B781" s="8" t="s">
        <v>36</v>
      </c>
      <c r="C781" s="8" t="s">
        <v>130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</row>
    <row r="782" spans="1:17">
      <c r="A782" s="8" t="s">
        <v>236</v>
      </c>
      <c r="B782" s="8" t="s">
        <v>200</v>
      </c>
      <c r="C782" s="8" t="s">
        <v>97</v>
      </c>
      <c r="D782" s="8">
        <v>0</v>
      </c>
      <c r="E782" s="8">
        <v>0</v>
      </c>
      <c r="F782" s="8">
        <v>0</v>
      </c>
      <c r="G782" s="8">
        <v>15.1769</v>
      </c>
      <c r="H782" s="8">
        <v>0</v>
      </c>
      <c r="I782" s="8">
        <v>0</v>
      </c>
      <c r="J782" s="8">
        <v>0</v>
      </c>
      <c r="K782" s="8">
        <v>0</v>
      </c>
      <c r="L782" s="8">
        <v>2.31653065494873</v>
      </c>
      <c r="M782" s="8">
        <v>7.07220821491705</v>
      </c>
    </row>
    <row r="783" spans="1:17">
      <c r="A783" s="8" t="s">
        <v>236</v>
      </c>
      <c r="B783" s="8" t="s">
        <v>200</v>
      </c>
      <c r="C783" s="8" t="s">
        <v>98</v>
      </c>
      <c r="D783" s="8">
        <v>0</v>
      </c>
      <c r="E783" s="8">
        <v>4.19165573149552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3.27485475607303</v>
      </c>
      <c r="M783" s="8">
        <v>0</v>
      </c>
    </row>
    <row r="784" spans="1:17">
      <c r="A784" s="8" t="s">
        <v>236</v>
      </c>
      <c r="B784" s="8" t="s">
        <v>200</v>
      </c>
      <c r="C784" s="8" t="s">
        <v>95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5.36903685262164</v>
      </c>
      <c r="L784" s="8">
        <v>0</v>
      </c>
      <c r="M784" s="8">
        <v>36.0822190493064</v>
      </c>
    </row>
    <row r="785" spans="1:17">
      <c r="A785" s="8" t="s">
        <v>236</v>
      </c>
      <c r="B785" s="8" t="s">
        <v>200</v>
      </c>
      <c r="C785" s="8" t="s">
        <v>93</v>
      </c>
      <c r="D785" s="8">
        <v>0</v>
      </c>
      <c r="E785" s="8">
        <v>5.68313911988294</v>
      </c>
      <c r="F785" s="8">
        <v>0</v>
      </c>
      <c r="G785" s="8">
        <v>9.1632</v>
      </c>
      <c r="H785" s="8">
        <v>0</v>
      </c>
      <c r="I785" s="8">
        <v>9.41953421181362</v>
      </c>
      <c r="J785" s="8">
        <v>0</v>
      </c>
      <c r="K785" s="8">
        <v>3.41871812846206</v>
      </c>
      <c r="L785" s="8">
        <v>0.955166313756236</v>
      </c>
      <c r="M785" s="8">
        <v>0</v>
      </c>
    </row>
    <row r="786" spans="1:17">
      <c r="A786" s="8" t="s">
        <v>236</v>
      </c>
      <c r="B786" s="8" t="s">
        <v>200</v>
      </c>
      <c r="C786" s="8" t="s">
        <v>96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5.37927518064755</v>
      </c>
    </row>
    <row r="787" spans="1:17">
      <c r="A787" s="8" t="s">
        <v>236</v>
      </c>
      <c r="B787" s="8" t="s">
        <v>200</v>
      </c>
      <c r="C787" s="8" t="s">
        <v>94</v>
      </c>
      <c r="D787" s="8">
        <v>0</v>
      </c>
      <c r="E787" s="8">
        <v>1.44339775082747</v>
      </c>
      <c r="F787" s="8">
        <v>0</v>
      </c>
      <c r="G787" s="8">
        <v>2.26768100945514</v>
      </c>
      <c r="H787" s="8">
        <v>0</v>
      </c>
      <c r="I787" s="8">
        <v>2.11279381107095</v>
      </c>
      <c r="J787" s="8">
        <v>0</v>
      </c>
      <c r="K787" s="8">
        <v>5.62139075929031</v>
      </c>
      <c r="L787" s="8">
        <v>1.28612489620204</v>
      </c>
      <c r="M787" s="8">
        <v>0</v>
      </c>
    </row>
    <row r="788" spans="1:17">
      <c r="A788" s="8" t="s">
        <v>236</v>
      </c>
      <c r="B788" s="8" t="s">
        <v>201</v>
      </c>
      <c r="C788" s="8" t="s">
        <v>202</v>
      </c>
      <c r="D788" s="8">
        <v>0</v>
      </c>
      <c r="E788" s="8">
        <v>0</v>
      </c>
      <c r="F788" s="8">
        <v>0</v>
      </c>
      <c r="G788" s="8">
        <v>9.215077261994</v>
      </c>
      <c r="H788" s="8">
        <v>0</v>
      </c>
      <c r="I788" s="8">
        <v>0</v>
      </c>
      <c r="J788" s="8">
        <v>0</v>
      </c>
      <c r="K788" s="8">
        <v>2.07608921198938</v>
      </c>
      <c r="L788" s="8">
        <v>9.44549100621332</v>
      </c>
      <c r="M788" s="8">
        <v>30.0748989383807</v>
      </c>
    </row>
    <row r="790" spans="1:17">
      <c r="N790" s="11" t="s">
        <v>203</v>
      </c>
      <c r="O790" s="11" t="s">
        <v>203</v>
      </c>
      <c r="P790" s="11" t="s">
        <v>204</v>
      </c>
      <c r="Q790" s="11" t="s">
        <v>204</v>
      </c>
    </row>
    <row r="791" spans="1:17">
      <c r="B791" s="8" t="s">
        <v>236</v>
      </c>
      <c r="C791" s="8" t="s">
        <v>188</v>
      </c>
      <c r="D791" s="8">
        <f t="shared" ref="D791:M791" si="354">D774</f>
        <v>0</v>
      </c>
      <c r="E791" s="8">
        <f t="shared" si="354"/>
        <v>0</v>
      </c>
      <c r="F791" s="8">
        <f t="shared" si="354"/>
        <v>0</v>
      </c>
      <c r="G791" s="8">
        <f t="shared" si="354"/>
        <v>0</v>
      </c>
      <c r="H791" s="8">
        <f t="shared" si="354"/>
        <v>0</v>
      </c>
      <c r="I791" s="8">
        <f t="shared" si="354"/>
        <v>0</v>
      </c>
      <c r="J791" s="8">
        <f t="shared" si="354"/>
        <v>0</v>
      </c>
      <c r="K791" s="8">
        <f t="shared" si="354"/>
        <v>0</v>
      </c>
      <c r="L791" s="8">
        <f t="shared" si="354"/>
        <v>0</v>
      </c>
      <c r="M791" s="8">
        <f t="shared" si="354"/>
        <v>0</v>
      </c>
      <c r="N791" s="8">
        <f t="shared" ref="N791:N798" si="355">AVERAGE(D791:H791)</f>
        <v>0</v>
      </c>
      <c r="O791" s="8">
        <f t="shared" ref="O791:O798" si="356">AVERAGE(I791:M791)</f>
        <v>0</v>
      </c>
      <c r="P791" s="8">
        <f t="shared" ref="P791:P798" si="357">LOG(N791+1,2)</f>
        <v>0</v>
      </c>
      <c r="Q791" s="8">
        <f t="shared" ref="Q791:Q798" si="358">LOG(O791+1,2)</f>
        <v>0</v>
      </c>
    </row>
    <row r="792" spans="1:17">
      <c r="B792" s="8" t="s">
        <v>236</v>
      </c>
      <c r="C792" s="8" t="s">
        <v>190</v>
      </c>
      <c r="D792" s="8">
        <f t="shared" ref="D792:M792" si="359">D775</f>
        <v>0</v>
      </c>
      <c r="E792" s="8">
        <f t="shared" si="359"/>
        <v>0</v>
      </c>
      <c r="F792" s="8">
        <f t="shared" si="359"/>
        <v>0</v>
      </c>
      <c r="G792" s="8">
        <f t="shared" si="359"/>
        <v>0</v>
      </c>
      <c r="H792" s="8">
        <f t="shared" si="359"/>
        <v>0</v>
      </c>
      <c r="I792" s="8">
        <f t="shared" si="359"/>
        <v>0</v>
      </c>
      <c r="J792" s="8">
        <f t="shared" si="359"/>
        <v>0</v>
      </c>
      <c r="K792" s="8">
        <f t="shared" si="359"/>
        <v>0</v>
      </c>
      <c r="L792" s="8">
        <f t="shared" si="359"/>
        <v>0</v>
      </c>
      <c r="M792" s="8">
        <f t="shared" si="359"/>
        <v>0</v>
      </c>
      <c r="N792" s="8">
        <f t="shared" si="355"/>
        <v>0</v>
      </c>
      <c r="O792" s="8">
        <f t="shared" si="356"/>
        <v>0</v>
      </c>
      <c r="P792" s="8">
        <f t="shared" si="357"/>
        <v>0</v>
      </c>
      <c r="Q792" s="8">
        <f t="shared" si="358"/>
        <v>0</v>
      </c>
    </row>
    <row r="793" spans="1:17">
      <c r="B793" s="8" t="s">
        <v>236</v>
      </c>
      <c r="C793" s="8" t="s">
        <v>192</v>
      </c>
      <c r="D793" s="8">
        <f t="shared" ref="D793:M793" si="360">D776+D777</f>
        <v>0</v>
      </c>
      <c r="E793" s="8">
        <f t="shared" si="360"/>
        <v>0</v>
      </c>
      <c r="F793" s="8">
        <f t="shared" si="360"/>
        <v>0</v>
      </c>
      <c r="G793" s="8">
        <f t="shared" si="360"/>
        <v>12.1277090719597</v>
      </c>
      <c r="H793" s="8">
        <f t="shared" si="360"/>
        <v>0</v>
      </c>
      <c r="I793" s="8">
        <f t="shared" si="360"/>
        <v>0</v>
      </c>
      <c r="J793" s="8">
        <f t="shared" si="360"/>
        <v>4.67953276924819</v>
      </c>
      <c r="K793" s="8">
        <f t="shared" si="360"/>
        <v>0</v>
      </c>
      <c r="L793" s="8">
        <f t="shared" si="360"/>
        <v>15.8940022469968</v>
      </c>
      <c r="M793" s="8">
        <f t="shared" si="360"/>
        <v>0</v>
      </c>
      <c r="N793" s="8">
        <f t="shared" si="355"/>
        <v>2.42554181439194</v>
      </c>
      <c r="O793" s="8">
        <f t="shared" si="356"/>
        <v>4.114707003249</v>
      </c>
      <c r="P793" s="8">
        <f t="shared" si="357"/>
        <v>1.77633219569795</v>
      </c>
      <c r="Q793" s="8">
        <f t="shared" si="358"/>
        <v>2.3546515973378</v>
      </c>
    </row>
    <row r="794" spans="1:17">
      <c r="B794" s="8" t="s">
        <v>236</v>
      </c>
      <c r="C794" s="8" t="s">
        <v>195</v>
      </c>
      <c r="D794" s="8">
        <f t="shared" ref="D794:M794" si="361">SUM(D778:D779)</f>
        <v>0</v>
      </c>
      <c r="E794" s="8">
        <f t="shared" si="361"/>
        <v>0</v>
      </c>
      <c r="F794" s="8">
        <f t="shared" si="361"/>
        <v>0</v>
      </c>
      <c r="G794" s="8">
        <f t="shared" si="361"/>
        <v>0</v>
      </c>
      <c r="H794" s="8">
        <f t="shared" si="361"/>
        <v>0</v>
      </c>
      <c r="I794" s="8">
        <f t="shared" si="361"/>
        <v>0</v>
      </c>
      <c r="J794" s="8">
        <f t="shared" si="361"/>
        <v>0</v>
      </c>
      <c r="K794" s="8">
        <f t="shared" si="361"/>
        <v>0</v>
      </c>
      <c r="L794" s="8">
        <f t="shared" si="361"/>
        <v>0</v>
      </c>
      <c r="M794" s="8">
        <f t="shared" si="361"/>
        <v>0</v>
      </c>
      <c r="N794" s="8">
        <f t="shared" si="355"/>
        <v>0</v>
      </c>
      <c r="O794" s="8">
        <f t="shared" si="356"/>
        <v>0</v>
      </c>
      <c r="P794" s="8">
        <f t="shared" si="357"/>
        <v>0</v>
      </c>
      <c r="Q794" s="8">
        <f t="shared" si="358"/>
        <v>0</v>
      </c>
    </row>
    <row r="795" spans="1:17">
      <c r="B795" s="8" t="s">
        <v>236</v>
      </c>
      <c r="C795" s="8" t="s">
        <v>198</v>
      </c>
      <c r="D795" s="8">
        <f t="shared" ref="D795:M795" si="362">D780</f>
        <v>0</v>
      </c>
      <c r="E795" s="8">
        <f t="shared" si="362"/>
        <v>0</v>
      </c>
      <c r="F795" s="8">
        <f t="shared" si="362"/>
        <v>0</v>
      </c>
      <c r="G795" s="8">
        <f t="shared" si="362"/>
        <v>0</v>
      </c>
      <c r="H795" s="8">
        <f t="shared" si="362"/>
        <v>0</v>
      </c>
      <c r="I795" s="8">
        <f t="shared" si="362"/>
        <v>0</v>
      </c>
      <c r="J795" s="8">
        <f t="shared" si="362"/>
        <v>0</v>
      </c>
      <c r="K795" s="8">
        <f t="shared" si="362"/>
        <v>0</v>
      </c>
      <c r="L795" s="8">
        <f t="shared" si="362"/>
        <v>0</v>
      </c>
      <c r="M795" s="8">
        <f t="shared" si="362"/>
        <v>0</v>
      </c>
      <c r="N795" s="8">
        <f t="shared" si="355"/>
        <v>0</v>
      </c>
      <c r="O795" s="8">
        <f t="shared" si="356"/>
        <v>0</v>
      </c>
      <c r="P795" s="8">
        <f t="shared" si="357"/>
        <v>0</v>
      </c>
      <c r="Q795" s="8">
        <f t="shared" si="358"/>
        <v>0</v>
      </c>
    </row>
    <row r="796" spans="1:17">
      <c r="B796" s="8" t="s">
        <v>236</v>
      </c>
      <c r="C796" s="8" t="s">
        <v>36</v>
      </c>
      <c r="D796" s="8">
        <f t="shared" ref="D796:M796" si="363">D781</f>
        <v>0</v>
      </c>
      <c r="E796" s="8">
        <f t="shared" si="363"/>
        <v>0</v>
      </c>
      <c r="F796" s="8">
        <f t="shared" si="363"/>
        <v>0</v>
      </c>
      <c r="G796" s="8">
        <f t="shared" si="363"/>
        <v>0</v>
      </c>
      <c r="H796" s="8">
        <f t="shared" si="363"/>
        <v>0</v>
      </c>
      <c r="I796" s="8">
        <f t="shared" si="363"/>
        <v>0</v>
      </c>
      <c r="J796" s="8">
        <f t="shared" si="363"/>
        <v>0</v>
      </c>
      <c r="K796" s="8">
        <f t="shared" si="363"/>
        <v>0</v>
      </c>
      <c r="L796" s="8">
        <f t="shared" si="363"/>
        <v>0</v>
      </c>
      <c r="M796" s="8">
        <f t="shared" si="363"/>
        <v>0</v>
      </c>
      <c r="N796" s="8">
        <f t="shared" si="355"/>
        <v>0</v>
      </c>
      <c r="O796" s="8">
        <f t="shared" si="356"/>
        <v>0</v>
      </c>
      <c r="P796" s="8">
        <f t="shared" si="357"/>
        <v>0</v>
      </c>
      <c r="Q796" s="8">
        <f t="shared" si="358"/>
        <v>0</v>
      </c>
    </row>
    <row r="797" spans="1:17">
      <c r="B797" s="8" t="s">
        <v>236</v>
      </c>
      <c r="C797" s="8" t="s">
        <v>200</v>
      </c>
      <c r="D797" s="8">
        <f t="shared" ref="D797:M797" si="364">SUM(D782:D787)</f>
        <v>0</v>
      </c>
      <c r="E797" s="8">
        <f t="shared" si="364"/>
        <v>11.3181926022059</v>
      </c>
      <c r="F797" s="8">
        <f t="shared" si="364"/>
        <v>0</v>
      </c>
      <c r="G797" s="8">
        <f t="shared" si="364"/>
        <v>26.6077810094551</v>
      </c>
      <c r="H797" s="8">
        <f t="shared" si="364"/>
        <v>0</v>
      </c>
      <c r="I797" s="8">
        <f t="shared" si="364"/>
        <v>11.5323280228846</v>
      </c>
      <c r="J797" s="8">
        <f t="shared" si="364"/>
        <v>0</v>
      </c>
      <c r="K797" s="8">
        <f t="shared" si="364"/>
        <v>14.409145740374</v>
      </c>
      <c r="L797" s="8">
        <f t="shared" si="364"/>
        <v>7.83267662098004</v>
      </c>
      <c r="M797" s="8">
        <f t="shared" si="364"/>
        <v>48.533702444871</v>
      </c>
      <c r="N797" s="8">
        <f t="shared" si="355"/>
        <v>7.58519472233221</v>
      </c>
      <c r="O797" s="8">
        <f t="shared" si="356"/>
        <v>16.4615705658219</v>
      </c>
      <c r="P797" s="8">
        <f t="shared" si="357"/>
        <v>3.10185085662195</v>
      </c>
      <c r="Q797" s="8">
        <f t="shared" si="358"/>
        <v>4.12611142164508</v>
      </c>
    </row>
    <row r="798" spans="1:17">
      <c r="B798" s="8" t="s">
        <v>236</v>
      </c>
      <c r="C798" s="8" t="s">
        <v>201</v>
      </c>
      <c r="D798" s="8">
        <f t="shared" ref="D798:M798" si="365">D788</f>
        <v>0</v>
      </c>
      <c r="E798" s="8">
        <f t="shared" si="365"/>
        <v>0</v>
      </c>
      <c r="F798" s="8">
        <f t="shared" si="365"/>
        <v>0</v>
      </c>
      <c r="G798" s="8">
        <f t="shared" si="365"/>
        <v>9.215077261994</v>
      </c>
      <c r="H798" s="8">
        <f t="shared" si="365"/>
        <v>0</v>
      </c>
      <c r="I798" s="8">
        <f t="shared" si="365"/>
        <v>0</v>
      </c>
      <c r="J798" s="8">
        <f t="shared" si="365"/>
        <v>0</v>
      </c>
      <c r="K798" s="8">
        <f t="shared" si="365"/>
        <v>2.07608921198938</v>
      </c>
      <c r="L798" s="8">
        <f t="shared" si="365"/>
        <v>9.44549100621332</v>
      </c>
      <c r="M798" s="8">
        <f t="shared" si="365"/>
        <v>30.0748989383807</v>
      </c>
      <c r="N798" s="8">
        <f t="shared" si="355"/>
        <v>1.8430154523988</v>
      </c>
      <c r="O798" s="8">
        <f t="shared" si="356"/>
        <v>8.31929583131668</v>
      </c>
      <c r="P798" s="8">
        <f t="shared" si="357"/>
        <v>1.50742194039375</v>
      </c>
      <c r="Q798" s="8">
        <f t="shared" si="358"/>
        <v>3.22022094854401</v>
      </c>
    </row>
    <row r="801" spans="1:13">
      <c r="A801" s="8" t="s">
        <v>237</v>
      </c>
      <c r="B801" s="8" t="s">
        <v>188</v>
      </c>
      <c r="C801" s="8" t="s">
        <v>189</v>
      </c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 spans="1:13">
      <c r="A802" s="8" t="s">
        <v>237</v>
      </c>
      <c r="B802" s="8" t="s">
        <v>190</v>
      </c>
      <c r="C802" s="8" t="s">
        <v>191</v>
      </c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 spans="1:13">
      <c r="A803" s="8" t="s">
        <v>237</v>
      </c>
      <c r="B803" s="8" t="s">
        <v>192</v>
      </c>
      <c r="C803" s="8" t="s">
        <v>193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 spans="1:13">
      <c r="A804" s="8" t="s">
        <v>237</v>
      </c>
      <c r="B804" s="8" t="s">
        <v>192</v>
      </c>
      <c r="C804" s="8" t="s">
        <v>194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</row>
    <row r="805" spans="1:13">
      <c r="A805" s="8" t="s">
        <v>237</v>
      </c>
      <c r="B805" s="8" t="s">
        <v>195</v>
      </c>
      <c r="C805" s="8" t="s">
        <v>196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 spans="1:13">
      <c r="A806" s="8" t="s">
        <v>237</v>
      </c>
      <c r="B806" s="8" t="s">
        <v>195</v>
      </c>
      <c r="C806" s="8" t="s">
        <v>197</v>
      </c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 spans="1:13">
      <c r="A807" s="8" t="s">
        <v>237</v>
      </c>
      <c r="B807" s="8" t="s">
        <v>198</v>
      </c>
      <c r="C807" s="8" t="s">
        <v>199</v>
      </c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 spans="1:13">
      <c r="A808" s="8" t="s">
        <v>237</v>
      </c>
      <c r="B808" s="8" t="s">
        <v>36</v>
      </c>
      <c r="C808" s="8" t="s">
        <v>130</v>
      </c>
      <c r="D808" s="8">
        <v>0</v>
      </c>
      <c r="E808" s="8">
        <v>0</v>
      </c>
      <c r="F808" s="8">
        <v>0</v>
      </c>
      <c r="G808" s="8">
        <v>0</v>
      </c>
      <c r="H808" s="8">
        <v>2.90856929449311</v>
      </c>
      <c r="I808" s="8">
        <v>0</v>
      </c>
      <c r="J808" s="8">
        <v>6.42135659377863</v>
      </c>
      <c r="K808" s="8">
        <v>0</v>
      </c>
      <c r="L808" s="8">
        <v>0</v>
      </c>
      <c r="M808" s="8">
        <v>0</v>
      </c>
    </row>
    <row r="809" spans="1:13">
      <c r="A809" s="8" t="s">
        <v>237</v>
      </c>
      <c r="B809" s="8" t="s">
        <v>200</v>
      </c>
      <c r="C809" s="8" t="s">
        <v>97</v>
      </c>
      <c r="D809" s="8">
        <v>0</v>
      </c>
      <c r="E809" s="8">
        <v>0</v>
      </c>
      <c r="F809" s="8">
        <v>0</v>
      </c>
      <c r="G809" s="8">
        <v>4.34781307106455</v>
      </c>
      <c r="H809" s="8">
        <v>0</v>
      </c>
      <c r="I809" s="8">
        <v>0</v>
      </c>
      <c r="J809" s="8">
        <v>59.0146610169491</v>
      </c>
      <c r="K809" s="8">
        <v>13.1198323947039</v>
      </c>
      <c r="L809" s="8">
        <v>11.6095663829868</v>
      </c>
      <c r="M809" s="8">
        <v>0</v>
      </c>
    </row>
    <row r="810" spans="1:13">
      <c r="A810" s="8" t="s">
        <v>237</v>
      </c>
      <c r="B810" s="8" t="s">
        <v>200</v>
      </c>
      <c r="C810" s="8" t="s">
        <v>98</v>
      </c>
      <c r="D810" s="8">
        <v>0</v>
      </c>
      <c r="E810" s="8">
        <v>27.4245668694262</v>
      </c>
      <c r="F810" s="8">
        <v>0</v>
      </c>
      <c r="G810" s="8">
        <v>6.52412619410402</v>
      </c>
      <c r="H810" s="8">
        <v>40.9928440857818</v>
      </c>
      <c r="I810" s="8">
        <v>0</v>
      </c>
      <c r="J810" s="8">
        <v>21.0514149063372</v>
      </c>
      <c r="K810" s="8">
        <v>1.42359827265053</v>
      </c>
      <c r="L810" s="8">
        <v>11.4300080729924</v>
      </c>
      <c r="M810" s="8">
        <v>2.00797205285499</v>
      </c>
    </row>
    <row r="811" spans="1:13">
      <c r="A811" s="8" t="s">
        <v>237</v>
      </c>
      <c r="B811" s="8" t="s">
        <v>200</v>
      </c>
      <c r="C811" s="8" t="s">
        <v>95</v>
      </c>
      <c r="D811" s="8">
        <v>0</v>
      </c>
      <c r="E811" s="8">
        <v>19.3512155443962</v>
      </c>
      <c r="F811" s="8">
        <v>0</v>
      </c>
      <c r="G811" s="8">
        <v>5.58665551528668</v>
      </c>
      <c r="H811" s="8">
        <v>46.3743178372916</v>
      </c>
      <c r="I811" s="8">
        <v>0</v>
      </c>
      <c r="J811" s="8">
        <v>0</v>
      </c>
      <c r="K811" s="8">
        <v>7.81056601178938</v>
      </c>
      <c r="L811" s="8">
        <v>9.81036467076784</v>
      </c>
      <c r="M811" s="8">
        <v>2.87173364542063</v>
      </c>
    </row>
    <row r="812" spans="1:13">
      <c r="A812" s="8" t="s">
        <v>237</v>
      </c>
      <c r="B812" s="8" t="s">
        <v>200</v>
      </c>
      <c r="C812" s="8" t="s">
        <v>93</v>
      </c>
      <c r="D812" s="8">
        <v>0</v>
      </c>
      <c r="E812" s="8">
        <v>11.1792846216541</v>
      </c>
      <c r="F812" s="8">
        <v>0</v>
      </c>
      <c r="G812" s="8">
        <v>8.74180466560647</v>
      </c>
      <c r="H812" s="8">
        <v>50.5431265508685</v>
      </c>
      <c r="I812" s="8">
        <v>0</v>
      </c>
      <c r="J812" s="8">
        <v>0</v>
      </c>
      <c r="K812" s="8">
        <v>1.77445854021995</v>
      </c>
      <c r="L812" s="8">
        <v>6.44470445074519</v>
      </c>
      <c r="M812" s="8">
        <v>5.64461984805054</v>
      </c>
    </row>
    <row r="813" spans="1:13">
      <c r="A813" s="8" t="s">
        <v>237</v>
      </c>
      <c r="B813" s="8" t="s">
        <v>200</v>
      </c>
      <c r="C813" s="8" t="s">
        <v>96</v>
      </c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 spans="1:13">
      <c r="A814" s="8" t="s">
        <v>237</v>
      </c>
      <c r="B814" s="8" t="s">
        <v>200</v>
      </c>
      <c r="C814" s="8" t="s">
        <v>94</v>
      </c>
      <c r="D814" s="8">
        <v>0</v>
      </c>
      <c r="E814" s="8">
        <v>0.420512812303397</v>
      </c>
      <c r="F814" s="8">
        <v>3.89890786688617</v>
      </c>
      <c r="G814" s="8">
        <v>10.4070965972092</v>
      </c>
      <c r="H814" s="8">
        <v>112.659021029835</v>
      </c>
      <c r="I814" s="8">
        <v>1.48729536340668</v>
      </c>
      <c r="J814" s="8">
        <v>0</v>
      </c>
      <c r="K814" s="8">
        <v>1.27516828850847</v>
      </c>
      <c r="L814" s="8">
        <v>3.36429183268326</v>
      </c>
      <c r="M814" s="8">
        <v>1.53549204716816</v>
      </c>
    </row>
    <row r="815" spans="1:13">
      <c r="A815" s="8" t="s">
        <v>237</v>
      </c>
      <c r="B815" s="8" t="s">
        <v>201</v>
      </c>
      <c r="C815" s="8" t="s">
        <v>202</v>
      </c>
      <c r="D815" s="8">
        <v>0</v>
      </c>
      <c r="E815" s="8">
        <v>8.9615316009614</v>
      </c>
      <c r="F815" s="8">
        <v>0</v>
      </c>
      <c r="G815" s="8">
        <v>31.1249790872015</v>
      </c>
      <c r="H815" s="8">
        <v>86.3817190111727</v>
      </c>
      <c r="I815" s="8">
        <v>86.1214805980321</v>
      </c>
      <c r="J815" s="8">
        <v>95.9304601495174</v>
      </c>
      <c r="K815" s="8">
        <v>50.8542136506208</v>
      </c>
      <c r="L815" s="8">
        <v>25.1894187927214</v>
      </c>
      <c r="M815" s="8">
        <v>23.3475063531593</v>
      </c>
    </row>
    <row r="818" spans="1:13">
      <c r="A818" s="8" t="s">
        <v>238</v>
      </c>
      <c r="B818" s="8" t="s">
        <v>188</v>
      </c>
      <c r="C818" s="8" t="s">
        <v>189</v>
      </c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 spans="1:13">
      <c r="A819" s="8" t="s">
        <v>238</v>
      </c>
      <c r="B819" s="8" t="s">
        <v>190</v>
      </c>
      <c r="C819" s="8" t="s">
        <v>191</v>
      </c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 spans="1:13">
      <c r="A820" s="8" t="s">
        <v>238</v>
      </c>
      <c r="B820" s="8" t="s">
        <v>192</v>
      </c>
      <c r="C820" s="8" t="s">
        <v>193</v>
      </c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 spans="1:13">
      <c r="A821" s="8" t="s">
        <v>238</v>
      </c>
      <c r="B821" s="8" t="s">
        <v>192</v>
      </c>
      <c r="C821" s="8" t="s">
        <v>194</v>
      </c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 spans="1:13">
      <c r="A822" s="8" t="s">
        <v>238</v>
      </c>
      <c r="B822" s="8" t="s">
        <v>195</v>
      </c>
      <c r="C822" s="8" t="s">
        <v>196</v>
      </c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 spans="1:13">
      <c r="A823" s="8" t="s">
        <v>238</v>
      </c>
      <c r="B823" s="8" t="s">
        <v>195</v>
      </c>
      <c r="C823" s="8" t="s">
        <v>197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 spans="1:13">
      <c r="A824" s="8" t="s">
        <v>238</v>
      </c>
      <c r="B824" s="8" t="s">
        <v>198</v>
      </c>
      <c r="C824" s="8" t="s">
        <v>199</v>
      </c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 spans="1:13">
      <c r="A825" s="8" t="s">
        <v>238</v>
      </c>
      <c r="B825" s="8" t="s">
        <v>36</v>
      </c>
      <c r="C825" s="8" t="s">
        <v>130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</row>
    <row r="826" spans="1:13">
      <c r="A826" s="8" t="s">
        <v>238</v>
      </c>
      <c r="B826" s="8" t="s">
        <v>200</v>
      </c>
      <c r="C826" s="8" t="s">
        <v>97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2.4036671051579</v>
      </c>
      <c r="L826" s="8">
        <v>21.0176050683104</v>
      </c>
      <c r="M826" s="8">
        <v>0</v>
      </c>
    </row>
    <row r="827" spans="1:13">
      <c r="A827" s="8" t="s">
        <v>238</v>
      </c>
      <c r="B827" s="8" t="s">
        <v>200</v>
      </c>
      <c r="C827" s="8" t="s">
        <v>98</v>
      </c>
      <c r="D827" s="8">
        <v>0</v>
      </c>
      <c r="E827" s="8">
        <v>15.5563961471587</v>
      </c>
      <c r="F827" s="8">
        <v>7.36684231276532</v>
      </c>
      <c r="G827" s="8">
        <v>0</v>
      </c>
      <c r="H827" s="8">
        <v>0</v>
      </c>
      <c r="I827" s="8">
        <v>0</v>
      </c>
      <c r="J827" s="8">
        <v>38.0022208017653</v>
      </c>
      <c r="K827" s="8">
        <v>0</v>
      </c>
      <c r="L827" s="8">
        <v>5.11386536312352</v>
      </c>
      <c r="M827" s="8">
        <v>0</v>
      </c>
    </row>
    <row r="828" spans="1:13">
      <c r="A828" s="8" t="s">
        <v>238</v>
      </c>
      <c r="B828" s="8" t="s">
        <v>200</v>
      </c>
      <c r="C828" s="8" t="s">
        <v>95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2.90303062136522</v>
      </c>
      <c r="L828" s="8">
        <v>0</v>
      </c>
      <c r="M828" s="8">
        <v>0</v>
      </c>
    </row>
    <row r="829" spans="1:13">
      <c r="A829" s="8" t="s">
        <v>238</v>
      </c>
      <c r="B829" s="8" t="s">
        <v>200</v>
      </c>
      <c r="C829" s="8" t="s">
        <v>93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5.74266174193896</v>
      </c>
      <c r="L829" s="8">
        <v>0</v>
      </c>
      <c r="M829" s="8">
        <v>0</v>
      </c>
    </row>
    <row r="830" spans="1:13">
      <c r="A830" s="8" t="s">
        <v>238</v>
      </c>
      <c r="B830" s="8" t="s">
        <v>200</v>
      </c>
      <c r="C830" s="8" t="s">
        <v>96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8.6486834571746</v>
      </c>
    </row>
    <row r="831" spans="1:13">
      <c r="A831" s="8" t="s">
        <v>238</v>
      </c>
      <c r="B831" s="8" t="s">
        <v>200</v>
      </c>
      <c r="C831" s="8" t="s">
        <v>94</v>
      </c>
      <c r="D831" s="8">
        <v>0</v>
      </c>
      <c r="E831" s="8">
        <v>4.3354809650228</v>
      </c>
      <c r="F831" s="8">
        <v>0</v>
      </c>
      <c r="G831" s="8">
        <v>4.4246272390063</v>
      </c>
      <c r="H831" s="8">
        <v>47.7622498089633</v>
      </c>
      <c r="I831" s="8">
        <v>0</v>
      </c>
      <c r="J831" s="8">
        <v>0</v>
      </c>
      <c r="K831" s="8">
        <v>0</v>
      </c>
      <c r="L831" s="8">
        <v>0.316982383640567</v>
      </c>
      <c r="M831" s="8">
        <v>0</v>
      </c>
    </row>
    <row r="832" spans="1:13">
      <c r="A832" s="8" t="s">
        <v>238</v>
      </c>
      <c r="B832" s="8" t="s">
        <v>201</v>
      </c>
      <c r="C832" s="8" t="s">
        <v>202</v>
      </c>
      <c r="D832" s="8">
        <v>0</v>
      </c>
      <c r="E832" s="8">
        <v>29.0017922119663</v>
      </c>
      <c r="F832" s="8">
        <v>0</v>
      </c>
      <c r="G832" s="8">
        <v>17.0126796810057</v>
      </c>
      <c r="H832" s="8">
        <v>0</v>
      </c>
      <c r="I832" s="8">
        <v>6.1265294189517</v>
      </c>
      <c r="J832" s="8">
        <v>16.195961383951</v>
      </c>
      <c r="K832" s="8">
        <v>18.6696301828619</v>
      </c>
      <c r="L832" s="8">
        <v>5.13574729606756</v>
      </c>
      <c r="M832" s="8">
        <v>23.0831065794775</v>
      </c>
    </row>
    <row r="835" spans="1:13">
      <c r="A835" s="8" t="s">
        <v>239</v>
      </c>
      <c r="B835" s="8" t="s">
        <v>188</v>
      </c>
      <c r="C835" s="8" t="s">
        <v>189</v>
      </c>
      <c r="D835" s="8">
        <f t="shared" ref="D835:M835" si="366">SUM(D818,D801)</f>
        <v>0</v>
      </c>
      <c r="E835" s="8">
        <f t="shared" si="366"/>
        <v>0</v>
      </c>
      <c r="F835" s="8">
        <f t="shared" si="366"/>
        <v>0</v>
      </c>
      <c r="G835" s="8">
        <f t="shared" si="366"/>
        <v>0</v>
      </c>
      <c r="H835" s="8">
        <f t="shared" si="366"/>
        <v>0</v>
      </c>
      <c r="I835" s="8">
        <f t="shared" si="366"/>
        <v>0</v>
      </c>
      <c r="J835" s="8">
        <f t="shared" si="366"/>
        <v>0</v>
      </c>
      <c r="K835" s="8">
        <f t="shared" si="366"/>
        <v>0</v>
      </c>
      <c r="L835" s="8">
        <f t="shared" si="366"/>
        <v>0</v>
      </c>
      <c r="M835" s="8">
        <f t="shared" si="366"/>
        <v>0</v>
      </c>
    </row>
    <row r="836" spans="1:13">
      <c r="A836" s="8" t="s">
        <v>239</v>
      </c>
      <c r="B836" s="8" t="s">
        <v>190</v>
      </c>
      <c r="C836" s="8" t="s">
        <v>191</v>
      </c>
      <c r="D836" s="8">
        <f t="shared" ref="D836:M836" si="367">SUM(D819,D802)</f>
        <v>0</v>
      </c>
      <c r="E836" s="8">
        <f t="shared" si="367"/>
        <v>0</v>
      </c>
      <c r="F836" s="8">
        <f t="shared" si="367"/>
        <v>0</v>
      </c>
      <c r="G836" s="8">
        <f t="shared" si="367"/>
        <v>0</v>
      </c>
      <c r="H836" s="8">
        <f t="shared" si="367"/>
        <v>0</v>
      </c>
      <c r="I836" s="8">
        <f t="shared" si="367"/>
        <v>0</v>
      </c>
      <c r="J836" s="8">
        <f t="shared" si="367"/>
        <v>0</v>
      </c>
      <c r="K836" s="8">
        <f t="shared" si="367"/>
        <v>0</v>
      </c>
      <c r="L836" s="8">
        <f t="shared" si="367"/>
        <v>0</v>
      </c>
      <c r="M836" s="8">
        <f t="shared" si="367"/>
        <v>0</v>
      </c>
    </row>
    <row r="837" spans="1:13">
      <c r="A837" s="8" t="s">
        <v>239</v>
      </c>
      <c r="B837" s="8" t="s">
        <v>192</v>
      </c>
      <c r="C837" s="8" t="s">
        <v>193</v>
      </c>
      <c r="D837" s="8">
        <f t="shared" ref="D837:M837" si="368">SUM(D820,D803)</f>
        <v>0</v>
      </c>
      <c r="E837" s="8">
        <f t="shared" si="368"/>
        <v>0</v>
      </c>
      <c r="F837" s="8">
        <f t="shared" si="368"/>
        <v>0</v>
      </c>
      <c r="G837" s="8">
        <f t="shared" si="368"/>
        <v>0</v>
      </c>
      <c r="H837" s="8">
        <f t="shared" si="368"/>
        <v>0</v>
      </c>
      <c r="I837" s="8">
        <f t="shared" si="368"/>
        <v>0</v>
      </c>
      <c r="J837" s="8">
        <f t="shared" si="368"/>
        <v>0</v>
      </c>
      <c r="K837" s="8">
        <f t="shared" si="368"/>
        <v>0</v>
      </c>
      <c r="L837" s="8">
        <f t="shared" si="368"/>
        <v>0</v>
      </c>
      <c r="M837" s="8">
        <f t="shared" si="368"/>
        <v>0</v>
      </c>
    </row>
    <row r="838" spans="1:13">
      <c r="A838" s="8" t="s">
        <v>239</v>
      </c>
      <c r="B838" s="8" t="s">
        <v>192</v>
      </c>
      <c r="C838" s="8" t="s">
        <v>194</v>
      </c>
      <c r="D838" s="8">
        <f t="shared" ref="D838:M838" si="369">SUM(D821,D804)</f>
        <v>0</v>
      </c>
      <c r="E838" s="8">
        <f t="shared" si="369"/>
        <v>0</v>
      </c>
      <c r="F838" s="8">
        <f t="shared" si="369"/>
        <v>0</v>
      </c>
      <c r="G838" s="8">
        <f t="shared" si="369"/>
        <v>0</v>
      </c>
      <c r="H838" s="8">
        <f t="shared" si="369"/>
        <v>0</v>
      </c>
      <c r="I838" s="8">
        <f t="shared" si="369"/>
        <v>0</v>
      </c>
      <c r="J838" s="8">
        <f t="shared" si="369"/>
        <v>0</v>
      </c>
      <c r="K838" s="8">
        <f t="shared" si="369"/>
        <v>0</v>
      </c>
      <c r="L838" s="8">
        <f t="shared" si="369"/>
        <v>0</v>
      </c>
      <c r="M838" s="8">
        <f t="shared" si="369"/>
        <v>0</v>
      </c>
    </row>
    <row r="839" spans="1:13">
      <c r="A839" s="8" t="s">
        <v>239</v>
      </c>
      <c r="B839" s="8" t="s">
        <v>195</v>
      </c>
      <c r="C839" s="8" t="s">
        <v>196</v>
      </c>
      <c r="D839" s="8">
        <f t="shared" ref="D839:M839" si="370">SUM(D822,D805)</f>
        <v>0</v>
      </c>
      <c r="E839" s="8">
        <f t="shared" si="370"/>
        <v>0</v>
      </c>
      <c r="F839" s="8">
        <f t="shared" si="370"/>
        <v>0</v>
      </c>
      <c r="G839" s="8">
        <f t="shared" si="370"/>
        <v>0</v>
      </c>
      <c r="H839" s="8">
        <f t="shared" si="370"/>
        <v>0</v>
      </c>
      <c r="I839" s="8">
        <f t="shared" si="370"/>
        <v>0</v>
      </c>
      <c r="J839" s="8">
        <f t="shared" si="370"/>
        <v>0</v>
      </c>
      <c r="K839" s="8">
        <f t="shared" si="370"/>
        <v>0</v>
      </c>
      <c r="L839" s="8">
        <f t="shared" si="370"/>
        <v>0</v>
      </c>
      <c r="M839" s="8">
        <f t="shared" si="370"/>
        <v>0</v>
      </c>
    </row>
    <row r="840" spans="1:13">
      <c r="A840" s="8" t="s">
        <v>239</v>
      </c>
      <c r="B840" s="8" t="s">
        <v>195</v>
      </c>
      <c r="C840" s="8" t="s">
        <v>197</v>
      </c>
      <c r="D840" s="8">
        <f t="shared" ref="D840:M840" si="371">SUM(D823,D806)</f>
        <v>0</v>
      </c>
      <c r="E840" s="8">
        <f t="shared" si="371"/>
        <v>0</v>
      </c>
      <c r="F840" s="8">
        <f t="shared" si="371"/>
        <v>0</v>
      </c>
      <c r="G840" s="8">
        <f t="shared" si="371"/>
        <v>0</v>
      </c>
      <c r="H840" s="8">
        <f t="shared" si="371"/>
        <v>0</v>
      </c>
      <c r="I840" s="8">
        <f t="shared" si="371"/>
        <v>0</v>
      </c>
      <c r="J840" s="8">
        <f t="shared" si="371"/>
        <v>0</v>
      </c>
      <c r="K840" s="8">
        <f t="shared" si="371"/>
        <v>0</v>
      </c>
      <c r="L840" s="8">
        <f t="shared" si="371"/>
        <v>0</v>
      </c>
      <c r="M840" s="8">
        <f t="shared" si="371"/>
        <v>0</v>
      </c>
    </row>
    <row r="841" spans="1:13">
      <c r="A841" s="8" t="s">
        <v>239</v>
      </c>
      <c r="B841" s="8" t="s">
        <v>198</v>
      </c>
      <c r="C841" s="8" t="s">
        <v>199</v>
      </c>
      <c r="D841" s="8">
        <f t="shared" ref="D841:M841" si="372">SUM(D824,D807)</f>
        <v>0</v>
      </c>
      <c r="E841" s="8">
        <f t="shared" si="372"/>
        <v>0</v>
      </c>
      <c r="F841" s="8">
        <f t="shared" si="372"/>
        <v>0</v>
      </c>
      <c r="G841" s="8">
        <f t="shared" si="372"/>
        <v>0</v>
      </c>
      <c r="H841" s="8">
        <f t="shared" si="372"/>
        <v>0</v>
      </c>
      <c r="I841" s="8">
        <f t="shared" si="372"/>
        <v>0</v>
      </c>
      <c r="J841" s="8">
        <f t="shared" si="372"/>
        <v>0</v>
      </c>
      <c r="K841" s="8">
        <f t="shared" si="372"/>
        <v>0</v>
      </c>
      <c r="L841" s="8">
        <f t="shared" si="372"/>
        <v>0</v>
      </c>
      <c r="M841" s="8">
        <f t="shared" si="372"/>
        <v>0</v>
      </c>
    </row>
    <row r="842" spans="1:13">
      <c r="A842" s="8" t="s">
        <v>239</v>
      </c>
      <c r="B842" s="8" t="s">
        <v>36</v>
      </c>
      <c r="C842" s="8" t="s">
        <v>130</v>
      </c>
      <c r="D842" s="8">
        <f t="shared" ref="D842:M842" si="373">SUM(D825,D808)</f>
        <v>0</v>
      </c>
      <c r="E842" s="8">
        <f t="shared" si="373"/>
        <v>0</v>
      </c>
      <c r="F842" s="8">
        <f t="shared" si="373"/>
        <v>0</v>
      </c>
      <c r="G842" s="8">
        <f t="shared" si="373"/>
        <v>0</v>
      </c>
      <c r="H842" s="8">
        <f t="shared" si="373"/>
        <v>2.90856929449311</v>
      </c>
      <c r="I842" s="8">
        <f t="shared" si="373"/>
        <v>0</v>
      </c>
      <c r="J842" s="8">
        <f t="shared" si="373"/>
        <v>6.42135659377863</v>
      </c>
      <c r="K842" s="8">
        <f t="shared" si="373"/>
        <v>0</v>
      </c>
      <c r="L842" s="8">
        <f t="shared" si="373"/>
        <v>0</v>
      </c>
      <c r="M842" s="8">
        <f t="shared" si="373"/>
        <v>0</v>
      </c>
    </row>
    <row r="843" spans="1:13">
      <c r="A843" s="8" t="s">
        <v>239</v>
      </c>
      <c r="B843" s="8" t="s">
        <v>200</v>
      </c>
      <c r="C843" s="8" t="s">
        <v>97</v>
      </c>
      <c r="D843" s="8">
        <f t="shared" ref="D843:M843" si="374">SUM(D826,D809)</f>
        <v>0</v>
      </c>
      <c r="E843" s="8">
        <f t="shared" si="374"/>
        <v>0</v>
      </c>
      <c r="F843" s="8">
        <f t="shared" si="374"/>
        <v>0</v>
      </c>
      <c r="G843" s="8">
        <f t="shared" si="374"/>
        <v>4.34781307106455</v>
      </c>
      <c r="H843" s="8">
        <f t="shared" si="374"/>
        <v>0</v>
      </c>
      <c r="I843" s="8">
        <f t="shared" si="374"/>
        <v>0</v>
      </c>
      <c r="J843" s="8">
        <f t="shared" si="374"/>
        <v>59.0146610169491</v>
      </c>
      <c r="K843" s="8">
        <f t="shared" si="374"/>
        <v>15.5234994998618</v>
      </c>
      <c r="L843" s="8">
        <f t="shared" si="374"/>
        <v>32.6271714512972</v>
      </c>
      <c r="M843" s="8">
        <f t="shared" si="374"/>
        <v>0</v>
      </c>
    </row>
    <row r="844" spans="1:13">
      <c r="A844" s="8" t="s">
        <v>239</v>
      </c>
      <c r="B844" s="8" t="s">
        <v>200</v>
      </c>
      <c r="C844" s="8" t="s">
        <v>98</v>
      </c>
      <c r="D844" s="8">
        <f t="shared" ref="D844:M844" si="375">SUM(D827,D810)</f>
        <v>0</v>
      </c>
      <c r="E844" s="8">
        <f t="shared" si="375"/>
        <v>42.9809630165849</v>
      </c>
      <c r="F844" s="8">
        <f t="shared" si="375"/>
        <v>7.36684231276532</v>
      </c>
      <c r="G844" s="8">
        <f t="shared" si="375"/>
        <v>6.52412619410402</v>
      </c>
      <c r="H844" s="8">
        <f t="shared" si="375"/>
        <v>40.9928440857818</v>
      </c>
      <c r="I844" s="8">
        <f t="shared" si="375"/>
        <v>0</v>
      </c>
      <c r="J844" s="8">
        <f t="shared" si="375"/>
        <v>59.0536357081025</v>
      </c>
      <c r="K844" s="8">
        <f t="shared" si="375"/>
        <v>1.42359827265053</v>
      </c>
      <c r="L844" s="8">
        <f t="shared" si="375"/>
        <v>16.5438734361159</v>
      </c>
      <c r="M844" s="8">
        <f t="shared" si="375"/>
        <v>2.00797205285499</v>
      </c>
    </row>
    <row r="845" spans="1:13">
      <c r="A845" s="8" t="s">
        <v>239</v>
      </c>
      <c r="B845" s="8" t="s">
        <v>200</v>
      </c>
      <c r="C845" s="8" t="s">
        <v>95</v>
      </c>
      <c r="D845" s="8">
        <f t="shared" ref="D845:M845" si="376">SUM(D828,D811)</f>
        <v>0</v>
      </c>
      <c r="E845" s="8">
        <f t="shared" si="376"/>
        <v>19.3512155443962</v>
      </c>
      <c r="F845" s="8">
        <f t="shared" si="376"/>
        <v>0</v>
      </c>
      <c r="G845" s="8">
        <f t="shared" si="376"/>
        <v>5.58665551528668</v>
      </c>
      <c r="H845" s="8">
        <f t="shared" si="376"/>
        <v>46.3743178372916</v>
      </c>
      <c r="I845" s="8">
        <f t="shared" si="376"/>
        <v>0</v>
      </c>
      <c r="J845" s="8">
        <f t="shared" si="376"/>
        <v>0</v>
      </c>
      <c r="K845" s="8">
        <f t="shared" si="376"/>
        <v>10.7135966331546</v>
      </c>
      <c r="L845" s="8">
        <f t="shared" si="376"/>
        <v>9.81036467076784</v>
      </c>
      <c r="M845" s="8">
        <f t="shared" si="376"/>
        <v>2.87173364542063</v>
      </c>
    </row>
    <row r="846" spans="1:13">
      <c r="A846" s="8" t="s">
        <v>239</v>
      </c>
      <c r="B846" s="8" t="s">
        <v>200</v>
      </c>
      <c r="C846" s="8" t="s">
        <v>93</v>
      </c>
      <c r="D846" s="8">
        <f t="shared" ref="D846:M846" si="377">SUM(D829,D812)</f>
        <v>0</v>
      </c>
      <c r="E846" s="8">
        <f t="shared" si="377"/>
        <v>11.1792846216541</v>
      </c>
      <c r="F846" s="8">
        <f t="shared" si="377"/>
        <v>0</v>
      </c>
      <c r="G846" s="8">
        <f t="shared" si="377"/>
        <v>8.74180466560647</v>
      </c>
      <c r="H846" s="8">
        <f t="shared" si="377"/>
        <v>50.5431265508685</v>
      </c>
      <c r="I846" s="8">
        <f t="shared" si="377"/>
        <v>0</v>
      </c>
      <c r="J846" s="8">
        <f t="shared" si="377"/>
        <v>0</v>
      </c>
      <c r="K846" s="8">
        <f t="shared" si="377"/>
        <v>7.51712028215891</v>
      </c>
      <c r="L846" s="8">
        <f t="shared" si="377"/>
        <v>6.44470445074519</v>
      </c>
      <c r="M846" s="8">
        <f t="shared" si="377"/>
        <v>5.64461984805054</v>
      </c>
    </row>
    <row r="847" spans="1:13">
      <c r="A847" s="8" t="s">
        <v>239</v>
      </c>
      <c r="B847" s="8" t="s">
        <v>200</v>
      </c>
      <c r="C847" s="8" t="s">
        <v>96</v>
      </c>
      <c r="D847" s="8">
        <f t="shared" ref="D847:M847" si="378">SUM(D830,D813)</f>
        <v>0</v>
      </c>
      <c r="E847" s="8">
        <f t="shared" si="378"/>
        <v>0</v>
      </c>
      <c r="F847" s="8">
        <f t="shared" si="378"/>
        <v>0</v>
      </c>
      <c r="G847" s="8">
        <f t="shared" si="378"/>
        <v>0</v>
      </c>
      <c r="H847" s="8">
        <f t="shared" si="378"/>
        <v>0</v>
      </c>
      <c r="I847" s="8">
        <f t="shared" si="378"/>
        <v>0</v>
      </c>
      <c r="J847" s="8">
        <f t="shared" si="378"/>
        <v>0</v>
      </c>
      <c r="K847" s="8">
        <f t="shared" si="378"/>
        <v>0</v>
      </c>
      <c r="L847" s="8">
        <f t="shared" si="378"/>
        <v>0</v>
      </c>
      <c r="M847" s="8">
        <f t="shared" si="378"/>
        <v>8.6486834571746</v>
      </c>
    </row>
    <row r="848" spans="1:13">
      <c r="A848" s="8" t="s">
        <v>239</v>
      </c>
      <c r="B848" s="8" t="s">
        <v>200</v>
      </c>
      <c r="C848" s="8" t="s">
        <v>94</v>
      </c>
      <c r="D848" s="8">
        <f t="shared" ref="D848:M848" si="379">SUM(D831,D814)</f>
        <v>0</v>
      </c>
      <c r="E848" s="8">
        <f t="shared" si="379"/>
        <v>4.7559937773262</v>
      </c>
      <c r="F848" s="8">
        <f t="shared" si="379"/>
        <v>3.89890786688617</v>
      </c>
      <c r="G848" s="8">
        <f t="shared" si="379"/>
        <v>14.8317238362155</v>
      </c>
      <c r="H848" s="8">
        <f t="shared" si="379"/>
        <v>160.421270838798</v>
      </c>
      <c r="I848" s="8">
        <f t="shared" si="379"/>
        <v>1.48729536340668</v>
      </c>
      <c r="J848" s="8">
        <f t="shared" si="379"/>
        <v>0</v>
      </c>
      <c r="K848" s="8">
        <f t="shared" si="379"/>
        <v>1.27516828850847</v>
      </c>
      <c r="L848" s="8">
        <f t="shared" si="379"/>
        <v>3.68127421632383</v>
      </c>
      <c r="M848" s="8">
        <f t="shared" si="379"/>
        <v>1.53549204716816</v>
      </c>
    </row>
    <row r="849" spans="1:17">
      <c r="A849" s="8" t="s">
        <v>239</v>
      </c>
      <c r="B849" s="8" t="s">
        <v>201</v>
      </c>
      <c r="C849" s="8" t="s">
        <v>202</v>
      </c>
      <c r="D849" s="8">
        <f t="shared" ref="D849:M849" si="380">SUM(D832,D815)</f>
        <v>0</v>
      </c>
      <c r="E849" s="8">
        <f t="shared" si="380"/>
        <v>37.9633238129277</v>
      </c>
      <c r="F849" s="8">
        <f t="shared" si="380"/>
        <v>0</v>
      </c>
      <c r="G849" s="8">
        <f t="shared" si="380"/>
        <v>48.1376587682072</v>
      </c>
      <c r="H849" s="8">
        <f t="shared" si="380"/>
        <v>86.3817190111727</v>
      </c>
      <c r="I849" s="8">
        <f t="shared" si="380"/>
        <v>92.2480100169838</v>
      </c>
      <c r="J849" s="8">
        <f t="shared" si="380"/>
        <v>112.126421533468</v>
      </c>
      <c r="K849" s="8">
        <f t="shared" si="380"/>
        <v>69.5238438334827</v>
      </c>
      <c r="L849" s="8">
        <f t="shared" si="380"/>
        <v>30.325166088789</v>
      </c>
      <c r="M849" s="8">
        <f t="shared" si="380"/>
        <v>46.4306129326368</v>
      </c>
    </row>
    <row r="851" spans="1:17">
      <c r="N851" s="11" t="s">
        <v>203</v>
      </c>
      <c r="O851" s="11" t="s">
        <v>203</v>
      </c>
      <c r="P851" s="11" t="s">
        <v>204</v>
      </c>
      <c r="Q851" s="11" t="s">
        <v>204</v>
      </c>
    </row>
    <row r="852" spans="1:17">
      <c r="B852" s="8" t="s">
        <v>239</v>
      </c>
      <c r="C852" s="8" t="s">
        <v>188</v>
      </c>
      <c r="D852" s="8">
        <f t="shared" ref="D852:M852" si="381">D835</f>
        <v>0</v>
      </c>
      <c r="E852" s="8">
        <f t="shared" si="381"/>
        <v>0</v>
      </c>
      <c r="F852" s="8">
        <f t="shared" si="381"/>
        <v>0</v>
      </c>
      <c r="G852" s="8">
        <f t="shared" si="381"/>
        <v>0</v>
      </c>
      <c r="H852" s="8">
        <f t="shared" si="381"/>
        <v>0</v>
      </c>
      <c r="I852" s="8">
        <f t="shared" si="381"/>
        <v>0</v>
      </c>
      <c r="J852" s="8">
        <f t="shared" si="381"/>
        <v>0</v>
      </c>
      <c r="K852" s="8">
        <f t="shared" si="381"/>
        <v>0</v>
      </c>
      <c r="L852" s="8">
        <f t="shared" si="381"/>
        <v>0</v>
      </c>
      <c r="M852" s="8">
        <f t="shared" si="381"/>
        <v>0</v>
      </c>
      <c r="N852" s="8">
        <f t="shared" ref="N852:N859" si="382">AVERAGE(D852:H852)</f>
        <v>0</v>
      </c>
      <c r="O852" s="8">
        <f t="shared" ref="O852:O859" si="383">AVERAGE(I852:M852)</f>
        <v>0</v>
      </c>
      <c r="P852" s="8">
        <f t="shared" ref="P852:P859" si="384">LOG(N852+1,2)</f>
        <v>0</v>
      </c>
      <c r="Q852" s="8">
        <f t="shared" ref="Q852:Q859" si="385">LOG(O852+1,2)</f>
        <v>0</v>
      </c>
    </row>
    <row r="853" spans="1:17">
      <c r="B853" s="8" t="s">
        <v>239</v>
      </c>
      <c r="C853" s="8" t="s">
        <v>190</v>
      </c>
      <c r="D853" s="8">
        <f t="shared" ref="D853:M853" si="386">D836</f>
        <v>0</v>
      </c>
      <c r="E853" s="8">
        <f t="shared" si="386"/>
        <v>0</v>
      </c>
      <c r="F853" s="8">
        <f t="shared" si="386"/>
        <v>0</v>
      </c>
      <c r="G853" s="8">
        <f t="shared" si="386"/>
        <v>0</v>
      </c>
      <c r="H853" s="8">
        <f t="shared" si="386"/>
        <v>0</v>
      </c>
      <c r="I853" s="8">
        <f t="shared" si="386"/>
        <v>0</v>
      </c>
      <c r="J853" s="8">
        <f t="shared" si="386"/>
        <v>0</v>
      </c>
      <c r="K853" s="8">
        <f t="shared" si="386"/>
        <v>0</v>
      </c>
      <c r="L853" s="8">
        <f t="shared" si="386"/>
        <v>0</v>
      </c>
      <c r="M853" s="8">
        <f t="shared" si="386"/>
        <v>0</v>
      </c>
      <c r="N853" s="8">
        <f t="shared" si="382"/>
        <v>0</v>
      </c>
      <c r="O853" s="8">
        <f t="shared" si="383"/>
        <v>0</v>
      </c>
      <c r="P853" s="8">
        <f t="shared" si="384"/>
        <v>0</v>
      </c>
      <c r="Q853" s="8">
        <f t="shared" si="385"/>
        <v>0</v>
      </c>
    </row>
    <row r="854" spans="1:17">
      <c r="B854" s="8" t="s">
        <v>239</v>
      </c>
      <c r="C854" s="8" t="s">
        <v>192</v>
      </c>
      <c r="D854" s="8">
        <f t="shared" ref="D854:M854" si="387">D837+D838</f>
        <v>0</v>
      </c>
      <c r="E854" s="8">
        <f t="shared" si="387"/>
        <v>0</v>
      </c>
      <c r="F854" s="8">
        <f t="shared" si="387"/>
        <v>0</v>
      </c>
      <c r="G854" s="8">
        <f t="shared" si="387"/>
        <v>0</v>
      </c>
      <c r="H854" s="8">
        <f t="shared" si="387"/>
        <v>0</v>
      </c>
      <c r="I854" s="8">
        <f t="shared" si="387"/>
        <v>0</v>
      </c>
      <c r="J854" s="8">
        <f t="shared" si="387"/>
        <v>0</v>
      </c>
      <c r="K854" s="8">
        <f t="shared" si="387"/>
        <v>0</v>
      </c>
      <c r="L854" s="8">
        <f t="shared" si="387"/>
        <v>0</v>
      </c>
      <c r="M854" s="8">
        <f t="shared" si="387"/>
        <v>0</v>
      </c>
      <c r="N854" s="8">
        <f t="shared" si="382"/>
        <v>0</v>
      </c>
      <c r="O854" s="8">
        <f t="shared" si="383"/>
        <v>0</v>
      </c>
      <c r="P854" s="8">
        <f t="shared" si="384"/>
        <v>0</v>
      </c>
      <c r="Q854" s="8">
        <f t="shared" si="385"/>
        <v>0</v>
      </c>
    </row>
    <row r="855" spans="1:17">
      <c r="B855" s="8" t="s">
        <v>239</v>
      </c>
      <c r="C855" s="8" t="s">
        <v>195</v>
      </c>
      <c r="D855" s="8">
        <f t="shared" ref="D855:M855" si="388">SUM(D839:D840)</f>
        <v>0</v>
      </c>
      <c r="E855" s="8">
        <f t="shared" si="388"/>
        <v>0</v>
      </c>
      <c r="F855" s="8">
        <f t="shared" si="388"/>
        <v>0</v>
      </c>
      <c r="G855" s="8">
        <f t="shared" si="388"/>
        <v>0</v>
      </c>
      <c r="H855" s="8">
        <f t="shared" si="388"/>
        <v>0</v>
      </c>
      <c r="I855" s="8">
        <f t="shared" si="388"/>
        <v>0</v>
      </c>
      <c r="J855" s="8">
        <f t="shared" si="388"/>
        <v>0</v>
      </c>
      <c r="K855" s="8">
        <f t="shared" si="388"/>
        <v>0</v>
      </c>
      <c r="L855" s="8">
        <f t="shared" si="388"/>
        <v>0</v>
      </c>
      <c r="M855" s="8">
        <f t="shared" si="388"/>
        <v>0</v>
      </c>
      <c r="N855" s="8">
        <f t="shared" si="382"/>
        <v>0</v>
      </c>
      <c r="O855" s="8">
        <f t="shared" si="383"/>
        <v>0</v>
      </c>
      <c r="P855" s="8">
        <f t="shared" si="384"/>
        <v>0</v>
      </c>
      <c r="Q855" s="8">
        <f t="shared" si="385"/>
        <v>0</v>
      </c>
    </row>
    <row r="856" spans="1:17">
      <c r="B856" s="8" t="s">
        <v>239</v>
      </c>
      <c r="C856" s="8" t="s">
        <v>198</v>
      </c>
      <c r="D856" s="8">
        <f t="shared" ref="D856:M856" si="389">D841</f>
        <v>0</v>
      </c>
      <c r="E856" s="8">
        <f t="shared" si="389"/>
        <v>0</v>
      </c>
      <c r="F856" s="8">
        <f t="shared" si="389"/>
        <v>0</v>
      </c>
      <c r="G856" s="8">
        <f t="shared" si="389"/>
        <v>0</v>
      </c>
      <c r="H856" s="8">
        <f t="shared" si="389"/>
        <v>0</v>
      </c>
      <c r="I856" s="8">
        <f t="shared" si="389"/>
        <v>0</v>
      </c>
      <c r="J856" s="8">
        <f t="shared" si="389"/>
        <v>0</v>
      </c>
      <c r="K856" s="8">
        <f t="shared" si="389"/>
        <v>0</v>
      </c>
      <c r="L856" s="8">
        <f t="shared" si="389"/>
        <v>0</v>
      </c>
      <c r="M856" s="8">
        <f t="shared" si="389"/>
        <v>0</v>
      </c>
      <c r="N856" s="8">
        <f t="shared" si="382"/>
        <v>0</v>
      </c>
      <c r="O856" s="8">
        <f t="shared" si="383"/>
        <v>0</v>
      </c>
      <c r="P856" s="8">
        <f t="shared" si="384"/>
        <v>0</v>
      </c>
      <c r="Q856" s="8">
        <f t="shared" si="385"/>
        <v>0</v>
      </c>
    </row>
    <row r="857" spans="1:17">
      <c r="B857" s="8" t="s">
        <v>239</v>
      </c>
      <c r="C857" s="8" t="s">
        <v>36</v>
      </c>
      <c r="D857" s="8">
        <f t="shared" ref="D857:M857" si="390">D842</f>
        <v>0</v>
      </c>
      <c r="E857" s="8">
        <f t="shared" si="390"/>
        <v>0</v>
      </c>
      <c r="F857" s="8">
        <f t="shared" si="390"/>
        <v>0</v>
      </c>
      <c r="G857" s="8">
        <f t="shared" si="390"/>
        <v>0</v>
      </c>
      <c r="H857" s="8">
        <f t="shared" si="390"/>
        <v>2.90856929449311</v>
      </c>
      <c r="I857" s="8">
        <f t="shared" si="390"/>
        <v>0</v>
      </c>
      <c r="J857" s="8">
        <f t="shared" si="390"/>
        <v>6.42135659377863</v>
      </c>
      <c r="K857" s="8">
        <f t="shared" si="390"/>
        <v>0</v>
      </c>
      <c r="L857" s="8">
        <f t="shared" si="390"/>
        <v>0</v>
      </c>
      <c r="M857" s="8">
        <f t="shared" si="390"/>
        <v>0</v>
      </c>
      <c r="N857" s="8">
        <f t="shared" si="382"/>
        <v>0.581713858898622</v>
      </c>
      <c r="O857" s="8">
        <f t="shared" si="383"/>
        <v>1.28427131875573</v>
      </c>
      <c r="P857" s="8">
        <f t="shared" si="384"/>
        <v>0.661488631614787</v>
      </c>
      <c r="Q857" s="8">
        <f t="shared" si="385"/>
        <v>1.19173401977958</v>
      </c>
    </row>
    <row r="858" spans="1:17">
      <c r="B858" s="8" t="s">
        <v>239</v>
      </c>
      <c r="C858" s="8" t="s">
        <v>200</v>
      </c>
      <c r="D858" s="8">
        <f t="shared" ref="D858:M858" si="391">SUM(D843:D848)</f>
        <v>0</v>
      </c>
      <c r="E858" s="8">
        <f t="shared" si="391"/>
        <v>78.2674569599614</v>
      </c>
      <c r="F858" s="8">
        <f t="shared" si="391"/>
        <v>11.2657501796515</v>
      </c>
      <c r="G858" s="8">
        <f t="shared" si="391"/>
        <v>40.0321232822772</v>
      </c>
      <c r="H858" s="8">
        <f t="shared" si="391"/>
        <v>298.33155931274</v>
      </c>
      <c r="I858" s="8">
        <f t="shared" si="391"/>
        <v>1.48729536340668</v>
      </c>
      <c r="J858" s="8">
        <f t="shared" si="391"/>
        <v>118.068296725052</v>
      </c>
      <c r="K858" s="8">
        <f t="shared" si="391"/>
        <v>36.4529829763344</v>
      </c>
      <c r="L858" s="8">
        <f t="shared" si="391"/>
        <v>69.10738822525</v>
      </c>
      <c r="M858" s="8">
        <f t="shared" si="391"/>
        <v>20.7085010506689</v>
      </c>
      <c r="N858" s="8">
        <f t="shared" si="382"/>
        <v>85.5793779469261</v>
      </c>
      <c r="O858" s="8">
        <f t="shared" si="383"/>
        <v>49.1648928681423</v>
      </c>
      <c r="P858" s="8">
        <f t="shared" si="384"/>
        <v>6.43595153004021</v>
      </c>
      <c r="Q858" s="8">
        <f t="shared" si="385"/>
        <v>5.64860616416657</v>
      </c>
    </row>
    <row r="859" spans="1:17">
      <c r="B859" s="8" t="s">
        <v>239</v>
      </c>
      <c r="C859" s="8" t="s">
        <v>201</v>
      </c>
      <c r="D859" s="8">
        <f t="shared" ref="D859:M859" si="392">D849</f>
        <v>0</v>
      </c>
      <c r="E859" s="8">
        <f t="shared" si="392"/>
        <v>37.9633238129277</v>
      </c>
      <c r="F859" s="8">
        <f t="shared" si="392"/>
        <v>0</v>
      </c>
      <c r="G859" s="8">
        <f t="shared" si="392"/>
        <v>48.1376587682072</v>
      </c>
      <c r="H859" s="8">
        <f t="shared" si="392"/>
        <v>86.3817190111727</v>
      </c>
      <c r="I859" s="8">
        <f t="shared" si="392"/>
        <v>92.2480100169838</v>
      </c>
      <c r="J859" s="8">
        <f t="shared" si="392"/>
        <v>112.126421533468</v>
      </c>
      <c r="K859" s="8">
        <f t="shared" si="392"/>
        <v>69.5238438334827</v>
      </c>
      <c r="L859" s="8">
        <f t="shared" si="392"/>
        <v>30.325166088789</v>
      </c>
      <c r="M859" s="8">
        <f t="shared" si="392"/>
        <v>46.4306129326368</v>
      </c>
      <c r="N859" s="8">
        <f t="shared" si="382"/>
        <v>34.4965403184615</v>
      </c>
      <c r="O859" s="8">
        <f t="shared" si="383"/>
        <v>70.1308108810721</v>
      </c>
      <c r="P859" s="8">
        <f t="shared" si="384"/>
        <v>5.14960651362783</v>
      </c>
      <c r="Q859" s="8">
        <f t="shared" si="385"/>
        <v>6.15240270503934</v>
      </c>
    </row>
    <row r="862" spans="1:17">
      <c r="A862" s="8" t="s">
        <v>240</v>
      </c>
      <c r="B862" s="8" t="s">
        <v>188</v>
      </c>
      <c r="C862" s="8" t="s">
        <v>189</v>
      </c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 spans="1:17">
      <c r="A863" s="8" t="s">
        <v>240</v>
      </c>
      <c r="B863" s="8" t="s">
        <v>190</v>
      </c>
      <c r="C863" s="8" t="s">
        <v>191</v>
      </c>
      <c r="D863" s="8">
        <v>8.53428778664969</v>
      </c>
      <c r="E863" s="8">
        <v>0</v>
      </c>
      <c r="F863" s="8">
        <v>0</v>
      </c>
      <c r="G863" s="8">
        <v>1.04836095026757</v>
      </c>
      <c r="H863" s="8">
        <v>0</v>
      </c>
      <c r="I863" s="8">
        <v>3.01432488183324</v>
      </c>
      <c r="J863" s="8">
        <v>8.27175322604647</v>
      </c>
      <c r="K863" s="8">
        <v>0</v>
      </c>
      <c r="L863" s="8">
        <v>10.6853864189081</v>
      </c>
      <c r="M863" s="8">
        <v>0</v>
      </c>
    </row>
    <row r="864" spans="1:17">
      <c r="A864" s="8" t="s">
        <v>240</v>
      </c>
      <c r="B864" s="8" t="s">
        <v>192</v>
      </c>
      <c r="C864" s="8" t="s">
        <v>193</v>
      </c>
      <c r="D864" s="8">
        <v>0</v>
      </c>
      <c r="E864" s="8">
        <v>0</v>
      </c>
      <c r="F864" s="8">
        <v>0</v>
      </c>
      <c r="G864" s="8">
        <v>39.5895669525144</v>
      </c>
      <c r="H864" s="8">
        <v>0</v>
      </c>
      <c r="I864" s="8">
        <v>0</v>
      </c>
      <c r="J864" s="8">
        <v>0</v>
      </c>
      <c r="K864" s="8">
        <v>5.24404297749919</v>
      </c>
      <c r="L864" s="8">
        <v>20.6898812505525</v>
      </c>
      <c r="M864" s="8">
        <v>0</v>
      </c>
    </row>
    <row r="865" spans="1:17">
      <c r="A865" s="8" t="s">
        <v>240</v>
      </c>
      <c r="B865" s="8" t="s">
        <v>192</v>
      </c>
      <c r="C865" s="8" t="s">
        <v>194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 spans="1:17">
      <c r="A866" s="8" t="s">
        <v>240</v>
      </c>
      <c r="B866" s="8" t="s">
        <v>195</v>
      </c>
      <c r="C866" s="8" t="s">
        <v>196</v>
      </c>
      <c r="D866" s="8">
        <v>0</v>
      </c>
      <c r="E866" s="8">
        <v>0</v>
      </c>
      <c r="F866" s="8">
        <v>0</v>
      </c>
      <c r="G866" s="8">
        <v>9.49278472193763</v>
      </c>
      <c r="H866" s="8">
        <v>0</v>
      </c>
      <c r="I866" s="8">
        <v>0</v>
      </c>
      <c r="J866" s="8">
        <v>0</v>
      </c>
      <c r="K866" s="8">
        <v>0</v>
      </c>
      <c r="L866" s="8">
        <v>0.289402688629688</v>
      </c>
      <c r="M866" s="8">
        <v>0.990849857881673</v>
      </c>
    </row>
    <row r="867" spans="1:17">
      <c r="A867" s="8" t="s">
        <v>240</v>
      </c>
      <c r="B867" s="8" t="s">
        <v>195</v>
      </c>
      <c r="C867" s="8" t="s">
        <v>197</v>
      </c>
      <c r="D867" s="8">
        <v>0</v>
      </c>
      <c r="E867" s="8">
        <v>0</v>
      </c>
      <c r="F867" s="8">
        <v>0</v>
      </c>
      <c r="G867" s="8">
        <v>1.04207489811663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</row>
    <row r="868" spans="1:17">
      <c r="A868" s="8" t="s">
        <v>240</v>
      </c>
      <c r="B868" s="8" t="s">
        <v>198</v>
      </c>
      <c r="C868" s="8" t="s">
        <v>199</v>
      </c>
      <c r="D868" s="8">
        <v>0</v>
      </c>
      <c r="E868" s="8">
        <v>16.7651647120534</v>
      </c>
      <c r="F868" s="8">
        <v>0</v>
      </c>
      <c r="G868" s="8">
        <v>87.5652855840529</v>
      </c>
      <c r="H868" s="8">
        <v>0</v>
      </c>
      <c r="I868" s="8">
        <v>8.04258908288347</v>
      </c>
      <c r="J868" s="8">
        <v>43.3264268109989</v>
      </c>
      <c r="K868" s="8">
        <v>0</v>
      </c>
      <c r="L868" s="8">
        <v>11.2015796246173</v>
      </c>
      <c r="M868" s="8">
        <v>8.80668010085948</v>
      </c>
    </row>
    <row r="869" spans="1:17">
      <c r="A869" s="8" t="s">
        <v>240</v>
      </c>
      <c r="B869" s="8" t="s">
        <v>36</v>
      </c>
      <c r="C869" s="8" t="s">
        <v>130</v>
      </c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 spans="1:17">
      <c r="A870" s="8" t="s">
        <v>240</v>
      </c>
      <c r="B870" s="8" t="s">
        <v>200</v>
      </c>
      <c r="C870" s="8" t="s">
        <v>97</v>
      </c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 spans="1:17">
      <c r="A871" s="8" t="s">
        <v>240</v>
      </c>
      <c r="B871" s="8" t="s">
        <v>200</v>
      </c>
      <c r="C871" s="8" t="s">
        <v>98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 spans="1:17">
      <c r="A872" s="8" t="s">
        <v>240</v>
      </c>
      <c r="B872" s="8" t="s">
        <v>200</v>
      </c>
      <c r="C872" s="8" t="s">
        <v>95</v>
      </c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 spans="1:17">
      <c r="A873" s="8" t="s">
        <v>240</v>
      </c>
      <c r="B873" s="8" t="s">
        <v>200</v>
      </c>
      <c r="C873" s="8" t="s">
        <v>93</v>
      </c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 spans="1:17">
      <c r="A874" s="8" t="s">
        <v>240</v>
      </c>
      <c r="B874" s="8" t="s">
        <v>200</v>
      </c>
      <c r="C874" s="8" t="s">
        <v>96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 spans="1:17">
      <c r="A875" s="8" t="s">
        <v>240</v>
      </c>
      <c r="B875" s="8" t="s">
        <v>200</v>
      </c>
      <c r="C875" s="8" t="s">
        <v>94</v>
      </c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 spans="1:17">
      <c r="A876" s="8" t="s">
        <v>240</v>
      </c>
      <c r="B876" s="8" t="s">
        <v>201</v>
      </c>
      <c r="C876" s="8" t="s">
        <v>202</v>
      </c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8" spans="1:17">
      <c r="N878" s="11" t="s">
        <v>203</v>
      </c>
      <c r="O878" s="11" t="s">
        <v>203</v>
      </c>
      <c r="P878" s="11" t="s">
        <v>204</v>
      </c>
      <c r="Q878" s="11" t="s">
        <v>204</v>
      </c>
    </row>
    <row r="879" spans="1:17">
      <c r="B879" s="8" t="s">
        <v>240</v>
      </c>
      <c r="C879" s="8" t="s">
        <v>188</v>
      </c>
      <c r="D879" s="8">
        <f t="shared" ref="D879:M879" si="393">D862</f>
        <v>0</v>
      </c>
      <c r="E879" s="8">
        <f t="shared" si="393"/>
        <v>0</v>
      </c>
      <c r="F879" s="8">
        <f t="shared" si="393"/>
        <v>0</v>
      </c>
      <c r="G879" s="8">
        <f t="shared" si="393"/>
        <v>0</v>
      </c>
      <c r="H879" s="8">
        <f t="shared" si="393"/>
        <v>0</v>
      </c>
      <c r="I879" s="8">
        <f t="shared" si="393"/>
        <v>0</v>
      </c>
      <c r="J879" s="8">
        <f t="shared" si="393"/>
        <v>0</v>
      </c>
      <c r="K879" s="8">
        <f t="shared" si="393"/>
        <v>0</v>
      </c>
      <c r="L879" s="8">
        <f t="shared" si="393"/>
        <v>0</v>
      </c>
      <c r="M879" s="8">
        <f t="shared" si="393"/>
        <v>0</v>
      </c>
      <c r="N879" s="8">
        <f t="shared" ref="N879:N886" si="394">AVERAGE(D879:H879)</f>
        <v>0</v>
      </c>
      <c r="O879" s="8">
        <f t="shared" ref="O879:O886" si="395">AVERAGE(I879:M879)</f>
        <v>0</v>
      </c>
      <c r="P879" s="8">
        <f t="shared" ref="P879:P886" si="396">LOG(N879+1,2)</f>
        <v>0</v>
      </c>
      <c r="Q879" s="8">
        <f t="shared" ref="Q879:Q886" si="397">LOG(O879+1,2)</f>
        <v>0</v>
      </c>
    </row>
    <row r="880" spans="1:17">
      <c r="B880" s="8" t="s">
        <v>240</v>
      </c>
      <c r="C880" s="8" t="s">
        <v>190</v>
      </c>
      <c r="D880" s="8">
        <f t="shared" ref="D880:M880" si="398">D863</f>
        <v>8.53428778664969</v>
      </c>
      <c r="E880" s="8">
        <f t="shared" si="398"/>
        <v>0</v>
      </c>
      <c r="F880" s="8">
        <f t="shared" si="398"/>
        <v>0</v>
      </c>
      <c r="G880" s="8">
        <f t="shared" si="398"/>
        <v>1.04836095026757</v>
      </c>
      <c r="H880" s="8">
        <f t="shared" si="398"/>
        <v>0</v>
      </c>
      <c r="I880" s="8">
        <f t="shared" si="398"/>
        <v>3.01432488183324</v>
      </c>
      <c r="J880" s="8">
        <f t="shared" si="398"/>
        <v>8.27175322604647</v>
      </c>
      <c r="K880" s="8">
        <f t="shared" si="398"/>
        <v>0</v>
      </c>
      <c r="L880" s="8">
        <f t="shared" si="398"/>
        <v>10.6853864189081</v>
      </c>
      <c r="M880" s="8">
        <f t="shared" si="398"/>
        <v>0</v>
      </c>
      <c r="N880" s="8">
        <f t="shared" si="394"/>
        <v>1.91652974738345</v>
      </c>
      <c r="O880" s="8">
        <f t="shared" si="395"/>
        <v>4.39429290535756</v>
      </c>
      <c r="P880" s="8">
        <f t="shared" si="396"/>
        <v>1.54425278911267</v>
      </c>
      <c r="Q880" s="8">
        <f t="shared" si="397"/>
        <v>2.4314338607715</v>
      </c>
    </row>
    <row r="881" spans="1:17">
      <c r="B881" s="8" t="s">
        <v>240</v>
      </c>
      <c r="C881" s="8" t="s">
        <v>192</v>
      </c>
      <c r="D881" s="8">
        <f t="shared" ref="D881:M881" si="399">D864+D865</f>
        <v>0</v>
      </c>
      <c r="E881" s="8">
        <f t="shared" si="399"/>
        <v>0</v>
      </c>
      <c r="F881" s="8">
        <f t="shared" si="399"/>
        <v>0</v>
      </c>
      <c r="G881" s="8">
        <f t="shared" si="399"/>
        <v>39.5895669525144</v>
      </c>
      <c r="H881" s="8">
        <f t="shared" si="399"/>
        <v>0</v>
      </c>
      <c r="I881" s="8">
        <f t="shared" si="399"/>
        <v>0</v>
      </c>
      <c r="J881" s="8">
        <f t="shared" si="399"/>
        <v>0</v>
      </c>
      <c r="K881" s="8">
        <f t="shared" si="399"/>
        <v>5.24404297749919</v>
      </c>
      <c r="L881" s="8">
        <f t="shared" si="399"/>
        <v>20.6898812505525</v>
      </c>
      <c r="M881" s="8">
        <f t="shared" si="399"/>
        <v>0</v>
      </c>
      <c r="N881" s="8">
        <f t="shared" si="394"/>
        <v>7.91791339050289</v>
      </c>
      <c r="O881" s="8">
        <f t="shared" si="395"/>
        <v>5.18678484561034</v>
      </c>
      <c r="P881" s="8">
        <f t="shared" si="396"/>
        <v>3.15670618847232</v>
      </c>
      <c r="Q881" s="8">
        <f t="shared" si="397"/>
        <v>2.62918986301761</v>
      </c>
    </row>
    <row r="882" spans="1:17">
      <c r="B882" s="8" t="s">
        <v>240</v>
      </c>
      <c r="C882" s="8" t="s">
        <v>195</v>
      </c>
      <c r="D882" s="8">
        <f t="shared" ref="D882:M882" si="400">SUM(D866:D867)</f>
        <v>0</v>
      </c>
      <c r="E882" s="8">
        <f t="shared" si="400"/>
        <v>0</v>
      </c>
      <c r="F882" s="8">
        <f t="shared" si="400"/>
        <v>0</v>
      </c>
      <c r="G882" s="8">
        <f t="shared" si="400"/>
        <v>10.5348596200543</v>
      </c>
      <c r="H882" s="8">
        <f t="shared" si="400"/>
        <v>0</v>
      </c>
      <c r="I882" s="8">
        <f t="shared" si="400"/>
        <v>0</v>
      </c>
      <c r="J882" s="8">
        <f t="shared" si="400"/>
        <v>0</v>
      </c>
      <c r="K882" s="8">
        <f t="shared" si="400"/>
        <v>0</v>
      </c>
      <c r="L882" s="8">
        <f t="shared" si="400"/>
        <v>0.289402688629688</v>
      </c>
      <c r="M882" s="8">
        <f t="shared" si="400"/>
        <v>0.990849857881673</v>
      </c>
      <c r="N882" s="8">
        <f t="shared" si="394"/>
        <v>2.10697192401085</v>
      </c>
      <c r="O882" s="8">
        <f t="shared" si="395"/>
        <v>0.256050509302272</v>
      </c>
      <c r="P882" s="8">
        <f t="shared" si="396"/>
        <v>1.63550920468044</v>
      </c>
      <c r="Q882" s="8">
        <f t="shared" si="397"/>
        <v>0.328894480196693</v>
      </c>
    </row>
    <row r="883" spans="1:17">
      <c r="B883" s="8" t="s">
        <v>240</v>
      </c>
      <c r="C883" s="8" t="s">
        <v>198</v>
      </c>
      <c r="D883" s="8">
        <f t="shared" ref="D883:M883" si="401">D868</f>
        <v>0</v>
      </c>
      <c r="E883" s="8">
        <f t="shared" si="401"/>
        <v>16.7651647120534</v>
      </c>
      <c r="F883" s="8">
        <f t="shared" si="401"/>
        <v>0</v>
      </c>
      <c r="G883" s="8">
        <f t="shared" si="401"/>
        <v>87.5652855840529</v>
      </c>
      <c r="H883" s="8">
        <f t="shared" si="401"/>
        <v>0</v>
      </c>
      <c r="I883" s="8">
        <f t="shared" si="401"/>
        <v>8.04258908288347</v>
      </c>
      <c r="J883" s="8">
        <f t="shared" si="401"/>
        <v>43.3264268109989</v>
      </c>
      <c r="K883" s="8">
        <f t="shared" si="401"/>
        <v>0</v>
      </c>
      <c r="L883" s="8">
        <f t="shared" si="401"/>
        <v>11.2015796246173</v>
      </c>
      <c r="M883" s="8">
        <f t="shared" si="401"/>
        <v>8.80668010085948</v>
      </c>
      <c r="N883" s="8">
        <f t="shared" si="394"/>
        <v>20.8660900592213</v>
      </c>
      <c r="O883" s="8">
        <f t="shared" si="395"/>
        <v>14.2754551238718</v>
      </c>
      <c r="P883" s="8">
        <f t="shared" si="396"/>
        <v>4.45062336573197</v>
      </c>
      <c r="Q883" s="8">
        <f t="shared" si="397"/>
        <v>3.93314345988529</v>
      </c>
    </row>
    <row r="884" spans="1:17">
      <c r="B884" s="8" t="s">
        <v>240</v>
      </c>
      <c r="C884" s="8" t="s">
        <v>36</v>
      </c>
      <c r="D884" s="8">
        <f t="shared" ref="D884:M884" si="402">D869</f>
        <v>0</v>
      </c>
      <c r="E884" s="8">
        <f t="shared" si="402"/>
        <v>0</v>
      </c>
      <c r="F884" s="8">
        <f t="shared" si="402"/>
        <v>0</v>
      </c>
      <c r="G884" s="8">
        <f t="shared" si="402"/>
        <v>0</v>
      </c>
      <c r="H884" s="8">
        <f t="shared" si="402"/>
        <v>0</v>
      </c>
      <c r="I884" s="8">
        <f t="shared" si="402"/>
        <v>0</v>
      </c>
      <c r="J884" s="8">
        <f t="shared" si="402"/>
        <v>0</v>
      </c>
      <c r="K884" s="8">
        <f t="shared" si="402"/>
        <v>0</v>
      </c>
      <c r="L884" s="8">
        <f t="shared" si="402"/>
        <v>0</v>
      </c>
      <c r="M884" s="8">
        <f t="shared" si="402"/>
        <v>0</v>
      </c>
      <c r="N884" s="8">
        <f t="shared" si="394"/>
        <v>0</v>
      </c>
      <c r="O884" s="8">
        <f t="shared" si="395"/>
        <v>0</v>
      </c>
      <c r="P884" s="8">
        <f t="shared" si="396"/>
        <v>0</v>
      </c>
      <c r="Q884" s="8">
        <f t="shared" si="397"/>
        <v>0</v>
      </c>
    </row>
    <row r="885" spans="1:17">
      <c r="B885" s="8" t="s">
        <v>240</v>
      </c>
      <c r="C885" s="8" t="s">
        <v>200</v>
      </c>
      <c r="D885" s="8">
        <f t="shared" ref="D885:M885" si="403">SUM(D870:D875)</f>
        <v>0</v>
      </c>
      <c r="E885" s="8">
        <f t="shared" si="403"/>
        <v>0</v>
      </c>
      <c r="F885" s="8">
        <f t="shared" si="403"/>
        <v>0</v>
      </c>
      <c r="G885" s="8">
        <f t="shared" si="403"/>
        <v>0</v>
      </c>
      <c r="H885" s="8">
        <f t="shared" si="403"/>
        <v>0</v>
      </c>
      <c r="I885" s="8">
        <f t="shared" si="403"/>
        <v>0</v>
      </c>
      <c r="J885" s="8">
        <f t="shared" si="403"/>
        <v>0</v>
      </c>
      <c r="K885" s="8">
        <f t="shared" si="403"/>
        <v>0</v>
      </c>
      <c r="L885" s="8">
        <f t="shared" si="403"/>
        <v>0</v>
      </c>
      <c r="M885" s="8">
        <f t="shared" si="403"/>
        <v>0</v>
      </c>
      <c r="N885" s="8">
        <f t="shared" si="394"/>
        <v>0</v>
      </c>
      <c r="O885" s="8">
        <f t="shared" si="395"/>
        <v>0</v>
      </c>
      <c r="P885" s="8">
        <f t="shared" si="396"/>
        <v>0</v>
      </c>
      <c r="Q885" s="8">
        <f t="shared" si="397"/>
        <v>0</v>
      </c>
    </row>
    <row r="886" spans="1:17">
      <c r="B886" s="8" t="s">
        <v>240</v>
      </c>
      <c r="C886" s="8" t="s">
        <v>201</v>
      </c>
      <c r="D886" s="8">
        <f t="shared" ref="D886:M886" si="404">D876</f>
        <v>0</v>
      </c>
      <c r="E886" s="8">
        <f t="shared" si="404"/>
        <v>0</v>
      </c>
      <c r="F886" s="8">
        <f t="shared" si="404"/>
        <v>0</v>
      </c>
      <c r="G886" s="8">
        <f t="shared" si="404"/>
        <v>0</v>
      </c>
      <c r="H886" s="8">
        <f t="shared" si="404"/>
        <v>0</v>
      </c>
      <c r="I886" s="8">
        <f t="shared" si="404"/>
        <v>0</v>
      </c>
      <c r="J886" s="8">
        <f t="shared" si="404"/>
        <v>0</v>
      </c>
      <c r="K886" s="8">
        <f t="shared" si="404"/>
        <v>0</v>
      </c>
      <c r="L886" s="8">
        <f t="shared" si="404"/>
        <v>0</v>
      </c>
      <c r="M886" s="8">
        <f t="shared" si="404"/>
        <v>0</v>
      </c>
      <c r="N886" s="8">
        <f t="shared" si="394"/>
        <v>0</v>
      </c>
      <c r="O886" s="8">
        <f t="shared" si="395"/>
        <v>0</v>
      </c>
      <c r="P886" s="8">
        <f t="shared" si="396"/>
        <v>0</v>
      </c>
      <c r="Q886" s="8">
        <f t="shared" si="397"/>
        <v>0</v>
      </c>
    </row>
    <row r="889" spans="1:17">
      <c r="A889" s="8" t="s">
        <v>241</v>
      </c>
      <c r="B889" s="8" t="s">
        <v>188</v>
      </c>
      <c r="C889" s="8" t="s">
        <v>189</v>
      </c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 spans="1:17">
      <c r="A890" s="8" t="s">
        <v>241</v>
      </c>
      <c r="B890" s="8" t="s">
        <v>190</v>
      </c>
      <c r="C890" s="8" t="s">
        <v>191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</row>
    <row r="891" spans="1:17">
      <c r="A891" s="8" t="s">
        <v>241</v>
      </c>
      <c r="B891" s="8" t="s">
        <v>192</v>
      </c>
      <c r="C891" s="8" t="s">
        <v>193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</row>
    <row r="892" spans="1:17">
      <c r="A892" s="8" t="s">
        <v>241</v>
      </c>
      <c r="B892" s="8" t="s">
        <v>192</v>
      </c>
      <c r="C892" s="8" t="s">
        <v>194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</row>
    <row r="893" spans="1:17">
      <c r="A893" s="8" t="s">
        <v>241</v>
      </c>
      <c r="B893" s="8" t="s">
        <v>195</v>
      </c>
      <c r="C893" s="8" t="s">
        <v>196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</row>
    <row r="894" spans="1:17">
      <c r="A894" s="8" t="s">
        <v>241</v>
      </c>
      <c r="B894" s="8" t="s">
        <v>195</v>
      </c>
      <c r="C894" s="8" t="s">
        <v>197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</row>
    <row r="895" spans="1:17">
      <c r="A895" s="8" t="s">
        <v>241</v>
      </c>
      <c r="B895" s="8" t="s">
        <v>198</v>
      </c>
      <c r="C895" s="8" t="s">
        <v>199</v>
      </c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 spans="1:17">
      <c r="A896" s="8" t="s">
        <v>241</v>
      </c>
      <c r="B896" s="8" t="s">
        <v>36</v>
      </c>
      <c r="C896" s="8" t="s">
        <v>130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</row>
    <row r="897" spans="1:17">
      <c r="A897" s="8" t="s">
        <v>241</v>
      </c>
      <c r="B897" s="8" t="s">
        <v>200</v>
      </c>
      <c r="C897" s="8" t="s">
        <v>97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17.523596043941</v>
      </c>
      <c r="K897" s="8">
        <v>5.55316566536954</v>
      </c>
      <c r="L897" s="8">
        <v>0</v>
      </c>
      <c r="M897" s="8">
        <v>0</v>
      </c>
    </row>
    <row r="898" spans="1:17">
      <c r="A898" s="8" t="s">
        <v>241</v>
      </c>
      <c r="B898" s="8" t="s">
        <v>200</v>
      </c>
      <c r="C898" s="8" t="s">
        <v>98</v>
      </c>
      <c r="D898" s="8">
        <v>0</v>
      </c>
      <c r="E898" s="8">
        <v>2.66622956989832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16.5052815355955</v>
      </c>
      <c r="M898" s="8">
        <v>0</v>
      </c>
    </row>
    <row r="899" spans="1:17">
      <c r="A899" s="8" t="s">
        <v>241</v>
      </c>
      <c r="B899" s="8" t="s">
        <v>200</v>
      </c>
      <c r="C899" s="8" t="s">
        <v>95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6.22911274633094</v>
      </c>
      <c r="L899" s="8">
        <v>0</v>
      </c>
      <c r="M899" s="8">
        <v>0</v>
      </c>
    </row>
    <row r="900" spans="1:17">
      <c r="A900" s="8" t="s">
        <v>241</v>
      </c>
      <c r="B900" s="8" t="s">
        <v>200</v>
      </c>
      <c r="C900" s="8" t="s">
        <v>93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10.9053228450128</v>
      </c>
      <c r="L900" s="8">
        <v>0</v>
      </c>
      <c r="M900" s="8">
        <v>0</v>
      </c>
    </row>
    <row r="901" spans="1:17">
      <c r="A901" s="8" t="s">
        <v>241</v>
      </c>
      <c r="B901" s="8" t="s">
        <v>200</v>
      </c>
      <c r="C901" s="8" t="s">
        <v>96</v>
      </c>
      <c r="D901" s="8">
        <v>0</v>
      </c>
      <c r="E901" s="8">
        <v>0</v>
      </c>
      <c r="F901" s="8">
        <v>0</v>
      </c>
      <c r="G901" s="8">
        <v>3.19553510521068</v>
      </c>
      <c r="H901" s="8">
        <v>0</v>
      </c>
      <c r="I901" s="8">
        <v>0</v>
      </c>
      <c r="J901" s="8">
        <v>0</v>
      </c>
      <c r="K901" s="8">
        <v>0</v>
      </c>
      <c r="L901" s="8">
        <v>4.66473467505385</v>
      </c>
      <c r="M901" s="8">
        <v>0</v>
      </c>
    </row>
    <row r="902" spans="1:17">
      <c r="A902" s="8" t="s">
        <v>241</v>
      </c>
      <c r="B902" s="8" t="s">
        <v>200</v>
      </c>
      <c r="C902" s="8" t="s">
        <v>94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15.1951989543735</v>
      </c>
    </row>
    <row r="903" spans="1:17">
      <c r="A903" s="8" t="s">
        <v>241</v>
      </c>
      <c r="B903" s="8" t="s">
        <v>201</v>
      </c>
      <c r="C903" s="8" t="s">
        <v>202</v>
      </c>
      <c r="D903" s="8">
        <v>0</v>
      </c>
      <c r="E903" s="8">
        <v>16.6716565687061</v>
      </c>
      <c r="F903" s="8">
        <v>0</v>
      </c>
      <c r="G903" s="8">
        <v>11.1094576336248</v>
      </c>
      <c r="H903" s="8">
        <v>0</v>
      </c>
      <c r="I903" s="8">
        <v>40.8179970502256</v>
      </c>
      <c r="J903" s="8">
        <v>44.2755586397455</v>
      </c>
      <c r="K903" s="8">
        <v>145.049177659309</v>
      </c>
      <c r="L903" s="8">
        <v>7.7871002141439</v>
      </c>
      <c r="M903" s="8">
        <v>0</v>
      </c>
    </row>
    <row r="905" spans="1:17">
      <c r="N905" s="11" t="s">
        <v>203</v>
      </c>
      <c r="O905" s="11" t="s">
        <v>203</v>
      </c>
      <c r="P905" s="11" t="s">
        <v>204</v>
      </c>
      <c r="Q905" s="11" t="s">
        <v>204</v>
      </c>
    </row>
    <row r="906" spans="1:17">
      <c r="B906" s="8" t="s">
        <v>241</v>
      </c>
      <c r="C906" s="8" t="s">
        <v>188</v>
      </c>
      <c r="D906" s="8">
        <f t="shared" ref="D906:M906" si="405">D889</f>
        <v>0</v>
      </c>
      <c r="E906" s="8">
        <f t="shared" si="405"/>
        <v>0</v>
      </c>
      <c r="F906" s="8">
        <f t="shared" si="405"/>
        <v>0</v>
      </c>
      <c r="G906" s="8">
        <f t="shared" si="405"/>
        <v>0</v>
      </c>
      <c r="H906" s="8">
        <f t="shared" si="405"/>
        <v>0</v>
      </c>
      <c r="I906" s="8">
        <f t="shared" si="405"/>
        <v>0</v>
      </c>
      <c r="J906" s="8">
        <f t="shared" si="405"/>
        <v>0</v>
      </c>
      <c r="K906" s="8">
        <f t="shared" si="405"/>
        <v>0</v>
      </c>
      <c r="L906" s="8">
        <f t="shared" si="405"/>
        <v>0</v>
      </c>
      <c r="M906" s="8">
        <f t="shared" si="405"/>
        <v>0</v>
      </c>
      <c r="N906" s="8">
        <f t="shared" ref="N906:N913" si="406">AVERAGE(D906:H906)</f>
        <v>0</v>
      </c>
      <c r="O906" s="8">
        <f t="shared" ref="O906:O913" si="407">AVERAGE(I906:M906)</f>
        <v>0</v>
      </c>
      <c r="P906" s="8">
        <f t="shared" ref="P906:P913" si="408">LOG(N906+1,2)</f>
        <v>0</v>
      </c>
      <c r="Q906" s="8">
        <f t="shared" ref="Q906:Q913" si="409">LOG(O906+1,2)</f>
        <v>0</v>
      </c>
    </row>
    <row r="907" spans="1:17">
      <c r="B907" s="8" t="s">
        <v>241</v>
      </c>
      <c r="C907" s="8" t="s">
        <v>190</v>
      </c>
      <c r="D907" s="8">
        <f t="shared" ref="D907:M907" si="410">D890</f>
        <v>0</v>
      </c>
      <c r="E907" s="8">
        <f t="shared" si="410"/>
        <v>0</v>
      </c>
      <c r="F907" s="8">
        <f t="shared" si="410"/>
        <v>0</v>
      </c>
      <c r="G907" s="8">
        <f t="shared" si="410"/>
        <v>0</v>
      </c>
      <c r="H907" s="8">
        <f t="shared" si="410"/>
        <v>0</v>
      </c>
      <c r="I907" s="8">
        <f t="shared" si="410"/>
        <v>0</v>
      </c>
      <c r="J907" s="8">
        <f t="shared" si="410"/>
        <v>0</v>
      </c>
      <c r="K907" s="8">
        <f t="shared" si="410"/>
        <v>0</v>
      </c>
      <c r="L907" s="8">
        <f t="shared" si="410"/>
        <v>0</v>
      </c>
      <c r="M907" s="8">
        <f t="shared" si="410"/>
        <v>0</v>
      </c>
      <c r="N907" s="8">
        <f t="shared" si="406"/>
        <v>0</v>
      </c>
      <c r="O907" s="8">
        <f t="shared" si="407"/>
        <v>0</v>
      </c>
      <c r="P907" s="8">
        <f t="shared" si="408"/>
        <v>0</v>
      </c>
      <c r="Q907" s="8">
        <f t="shared" si="409"/>
        <v>0</v>
      </c>
    </row>
    <row r="908" spans="1:17">
      <c r="B908" s="8" t="s">
        <v>241</v>
      </c>
      <c r="C908" s="8" t="s">
        <v>192</v>
      </c>
      <c r="D908" s="8">
        <f t="shared" ref="D908:M908" si="411">D891+D892</f>
        <v>0</v>
      </c>
      <c r="E908" s="8">
        <f t="shared" si="411"/>
        <v>0</v>
      </c>
      <c r="F908" s="8">
        <f t="shared" si="411"/>
        <v>0</v>
      </c>
      <c r="G908" s="8">
        <f t="shared" si="411"/>
        <v>0</v>
      </c>
      <c r="H908" s="8">
        <f t="shared" si="411"/>
        <v>0</v>
      </c>
      <c r="I908" s="8">
        <f t="shared" si="411"/>
        <v>0</v>
      </c>
      <c r="J908" s="8">
        <f t="shared" si="411"/>
        <v>0</v>
      </c>
      <c r="K908" s="8">
        <f t="shared" si="411"/>
        <v>0</v>
      </c>
      <c r="L908" s="8">
        <f t="shared" si="411"/>
        <v>0</v>
      </c>
      <c r="M908" s="8">
        <f t="shared" si="411"/>
        <v>0</v>
      </c>
      <c r="N908" s="8">
        <f t="shared" si="406"/>
        <v>0</v>
      </c>
      <c r="O908" s="8">
        <f t="shared" si="407"/>
        <v>0</v>
      </c>
      <c r="P908" s="8">
        <f t="shared" si="408"/>
        <v>0</v>
      </c>
      <c r="Q908" s="8">
        <f t="shared" si="409"/>
        <v>0</v>
      </c>
    </row>
    <row r="909" spans="1:17">
      <c r="B909" s="8" t="s">
        <v>241</v>
      </c>
      <c r="C909" s="8" t="s">
        <v>195</v>
      </c>
      <c r="D909" s="8">
        <f t="shared" ref="D909:M909" si="412">SUM(D893:D894)</f>
        <v>0</v>
      </c>
      <c r="E909" s="8">
        <f t="shared" si="412"/>
        <v>0</v>
      </c>
      <c r="F909" s="8">
        <f t="shared" si="412"/>
        <v>0</v>
      </c>
      <c r="G909" s="8">
        <f t="shared" si="412"/>
        <v>0</v>
      </c>
      <c r="H909" s="8">
        <f t="shared" si="412"/>
        <v>0</v>
      </c>
      <c r="I909" s="8">
        <f t="shared" si="412"/>
        <v>0</v>
      </c>
      <c r="J909" s="8">
        <f t="shared" si="412"/>
        <v>0</v>
      </c>
      <c r="K909" s="8">
        <f t="shared" si="412"/>
        <v>0</v>
      </c>
      <c r="L909" s="8">
        <f t="shared" si="412"/>
        <v>0</v>
      </c>
      <c r="M909" s="8">
        <f t="shared" si="412"/>
        <v>0</v>
      </c>
      <c r="N909" s="8">
        <f t="shared" si="406"/>
        <v>0</v>
      </c>
      <c r="O909" s="8">
        <f t="shared" si="407"/>
        <v>0</v>
      </c>
      <c r="P909" s="8">
        <f t="shared" si="408"/>
        <v>0</v>
      </c>
      <c r="Q909" s="8">
        <f t="shared" si="409"/>
        <v>0</v>
      </c>
    </row>
    <row r="910" spans="1:17">
      <c r="B910" s="8" t="s">
        <v>241</v>
      </c>
      <c r="C910" s="8" t="s">
        <v>198</v>
      </c>
      <c r="D910" s="8">
        <f t="shared" ref="D910:M910" si="413">D895</f>
        <v>0</v>
      </c>
      <c r="E910" s="8">
        <f t="shared" si="413"/>
        <v>0</v>
      </c>
      <c r="F910" s="8">
        <f t="shared" si="413"/>
        <v>0</v>
      </c>
      <c r="G910" s="8">
        <f t="shared" si="413"/>
        <v>0</v>
      </c>
      <c r="H910" s="8">
        <f t="shared" si="413"/>
        <v>0</v>
      </c>
      <c r="I910" s="8">
        <f t="shared" si="413"/>
        <v>0</v>
      </c>
      <c r="J910" s="8">
        <f t="shared" si="413"/>
        <v>0</v>
      </c>
      <c r="K910" s="8">
        <f t="shared" si="413"/>
        <v>0</v>
      </c>
      <c r="L910" s="8">
        <f t="shared" si="413"/>
        <v>0</v>
      </c>
      <c r="M910" s="8">
        <f t="shared" si="413"/>
        <v>0</v>
      </c>
      <c r="N910" s="8">
        <f t="shared" si="406"/>
        <v>0</v>
      </c>
      <c r="O910" s="8">
        <f t="shared" si="407"/>
        <v>0</v>
      </c>
      <c r="P910" s="8">
        <f t="shared" si="408"/>
        <v>0</v>
      </c>
      <c r="Q910" s="8">
        <f t="shared" si="409"/>
        <v>0</v>
      </c>
    </row>
    <row r="911" spans="1:17">
      <c r="B911" s="8" t="s">
        <v>241</v>
      </c>
      <c r="C911" s="8" t="s">
        <v>36</v>
      </c>
      <c r="D911" s="8">
        <f t="shared" ref="D911:M911" si="414">D896</f>
        <v>0</v>
      </c>
      <c r="E911" s="8">
        <f t="shared" si="414"/>
        <v>0</v>
      </c>
      <c r="F911" s="8">
        <f t="shared" si="414"/>
        <v>0</v>
      </c>
      <c r="G911" s="8">
        <f t="shared" si="414"/>
        <v>0</v>
      </c>
      <c r="H911" s="8">
        <f t="shared" si="414"/>
        <v>0</v>
      </c>
      <c r="I911" s="8">
        <f t="shared" si="414"/>
        <v>0</v>
      </c>
      <c r="J911" s="8">
        <f t="shared" si="414"/>
        <v>0</v>
      </c>
      <c r="K911" s="8">
        <f t="shared" si="414"/>
        <v>0</v>
      </c>
      <c r="L911" s="8">
        <f t="shared" si="414"/>
        <v>0</v>
      </c>
      <c r="M911" s="8">
        <f t="shared" si="414"/>
        <v>0</v>
      </c>
      <c r="N911" s="8">
        <f t="shared" si="406"/>
        <v>0</v>
      </c>
      <c r="O911" s="8">
        <f t="shared" si="407"/>
        <v>0</v>
      </c>
      <c r="P911" s="8">
        <f t="shared" si="408"/>
        <v>0</v>
      </c>
      <c r="Q911" s="8">
        <f t="shared" si="409"/>
        <v>0</v>
      </c>
    </row>
    <row r="912" spans="1:17">
      <c r="B912" s="8" t="s">
        <v>241</v>
      </c>
      <c r="C912" s="8" t="s">
        <v>200</v>
      </c>
      <c r="D912" s="8">
        <f t="shared" ref="D912:M912" si="415">SUM(D897:D902)</f>
        <v>0</v>
      </c>
      <c r="E912" s="8">
        <f t="shared" si="415"/>
        <v>2.66622956989832</v>
      </c>
      <c r="F912" s="8">
        <f t="shared" si="415"/>
        <v>0</v>
      </c>
      <c r="G912" s="8">
        <f t="shared" si="415"/>
        <v>3.19553510521068</v>
      </c>
      <c r="H912" s="8">
        <f t="shared" si="415"/>
        <v>0</v>
      </c>
      <c r="I912" s="8">
        <f t="shared" si="415"/>
        <v>0</v>
      </c>
      <c r="J912" s="8">
        <f t="shared" si="415"/>
        <v>17.523596043941</v>
      </c>
      <c r="K912" s="8">
        <f t="shared" si="415"/>
        <v>22.6876012567133</v>
      </c>
      <c r="L912" s="8">
        <f t="shared" si="415"/>
        <v>21.1700162106493</v>
      </c>
      <c r="M912" s="8">
        <f t="shared" si="415"/>
        <v>15.1951989543735</v>
      </c>
      <c r="N912" s="8">
        <f t="shared" si="406"/>
        <v>1.1723529350218</v>
      </c>
      <c r="O912" s="8">
        <f t="shared" si="407"/>
        <v>15.3152824931354</v>
      </c>
      <c r="P912" s="8">
        <f t="shared" si="408"/>
        <v>1.11925851209313</v>
      </c>
      <c r="Q912" s="8">
        <f t="shared" si="409"/>
        <v>4.02815206226916</v>
      </c>
    </row>
    <row r="913" spans="1:17">
      <c r="B913" s="8" t="s">
        <v>241</v>
      </c>
      <c r="C913" s="8" t="s">
        <v>201</v>
      </c>
      <c r="D913" s="8">
        <f t="shared" ref="D913:M913" si="416">D903</f>
        <v>0</v>
      </c>
      <c r="E913" s="8">
        <f t="shared" si="416"/>
        <v>16.6716565687061</v>
      </c>
      <c r="F913" s="8">
        <f t="shared" si="416"/>
        <v>0</v>
      </c>
      <c r="G913" s="8">
        <f t="shared" si="416"/>
        <v>11.1094576336248</v>
      </c>
      <c r="H913" s="8">
        <f t="shared" si="416"/>
        <v>0</v>
      </c>
      <c r="I913" s="8">
        <f t="shared" si="416"/>
        <v>40.8179970502256</v>
      </c>
      <c r="J913" s="8">
        <f t="shared" si="416"/>
        <v>44.2755586397455</v>
      </c>
      <c r="K913" s="8">
        <f t="shared" si="416"/>
        <v>145.049177659309</v>
      </c>
      <c r="L913" s="8">
        <f t="shared" si="416"/>
        <v>7.7871002141439</v>
      </c>
      <c r="M913" s="8">
        <f t="shared" si="416"/>
        <v>0</v>
      </c>
      <c r="N913" s="8">
        <f t="shared" si="406"/>
        <v>5.55622284046617</v>
      </c>
      <c r="O913" s="8">
        <f t="shared" si="407"/>
        <v>47.5859667126847</v>
      </c>
      <c r="P913" s="8">
        <f t="shared" si="408"/>
        <v>2.7128648912543</v>
      </c>
      <c r="Q913" s="8">
        <f t="shared" si="409"/>
        <v>5.60246776926228</v>
      </c>
    </row>
    <row r="916" spans="1:17">
      <c r="A916" s="8" t="s">
        <v>242</v>
      </c>
      <c r="B916" s="8" t="s">
        <v>188</v>
      </c>
      <c r="C916" s="8" t="s">
        <v>189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</row>
    <row r="917" spans="1:17">
      <c r="A917" s="8" t="s">
        <v>242</v>
      </c>
      <c r="B917" s="8" t="s">
        <v>190</v>
      </c>
      <c r="C917" s="8" t="s">
        <v>191</v>
      </c>
      <c r="D917" s="8">
        <v>3.53850824140472</v>
      </c>
      <c r="E917" s="8">
        <v>0</v>
      </c>
      <c r="F917" s="8">
        <v>3.92320280652242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</row>
    <row r="918" spans="1:17">
      <c r="A918" s="8" t="s">
        <v>242</v>
      </c>
      <c r="B918" s="8" t="s">
        <v>192</v>
      </c>
      <c r="C918" s="8" t="s">
        <v>193</v>
      </c>
      <c r="D918" s="8">
        <v>3.53841846273237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</row>
    <row r="919" spans="1:17">
      <c r="A919" s="8" t="s">
        <v>242</v>
      </c>
      <c r="B919" s="8" t="s">
        <v>192</v>
      </c>
      <c r="C919" s="8" t="s">
        <v>194</v>
      </c>
      <c r="D919" s="8">
        <v>0</v>
      </c>
      <c r="E919" s="8">
        <v>0</v>
      </c>
      <c r="F919" s="8">
        <v>0</v>
      </c>
      <c r="G919" s="8">
        <v>0</v>
      </c>
      <c r="H919" s="8">
        <v>1.70925821651066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</row>
    <row r="920" spans="1:17">
      <c r="A920" s="8" t="s">
        <v>242</v>
      </c>
      <c r="B920" s="8" t="s">
        <v>195</v>
      </c>
      <c r="C920" s="8" t="s">
        <v>196</v>
      </c>
      <c r="D920" s="8">
        <v>0</v>
      </c>
      <c r="E920" s="8">
        <v>0</v>
      </c>
      <c r="F920" s="8">
        <v>0</v>
      </c>
      <c r="G920" s="8">
        <v>7.31401678975336</v>
      </c>
      <c r="H920" s="8">
        <v>0</v>
      </c>
      <c r="I920" s="8">
        <v>0</v>
      </c>
      <c r="J920" s="8">
        <v>0</v>
      </c>
      <c r="K920" s="8">
        <v>0</v>
      </c>
      <c r="L920" s="8">
        <v>1.17580978514371</v>
      </c>
      <c r="M920" s="8">
        <v>0</v>
      </c>
    </row>
    <row r="921" spans="1:17">
      <c r="A921" s="8" t="s">
        <v>242</v>
      </c>
      <c r="B921" s="8" t="s">
        <v>195</v>
      </c>
      <c r="C921" s="8" t="s">
        <v>197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</row>
    <row r="922" spans="1:17">
      <c r="A922" s="8" t="s">
        <v>242</v>
      </c>
      <c r="B922" s="8" t="s">
        <v>198</v>
      </c>
      <c r="C922" s="8" t="s">
        <v>199</v>
      </c>
      <c r="D922" s="8">
        <v>0</v>
      </c>
      <c r="E922" s="8">
        <v>0</v>
      </c>
      <c r="F922" s="8">
        <v>0</v>
      </c>
      <c r="G922" s="8">
        <v>22.1189427093818</v>
      </c>
      <c r="H922" s="8">
        <v>0</v>
      </c>
      <c r="I922" s="8">
        <v>2.72213066822604</v>
      </c>
      <c r="J922" s="8">
        <v>0</v>
      </c>
      <c r="K922" s="8">
        <v>0</v>
      </c>
      <c r="L922" s="8">
        <v>0</v>
      </c>
      <c r="M922" s="8">
        <v>0</v>
      </c>
    </row>
    <row r="923" spans="1:17">
      <c r="A923" s="8" t="s">
        <v>242</v>
      </c>
      <c r="B923" s="8" t="s">
        <v>36</v>
      </c>
      <c r="C923" s="8" t="s">
        <v>130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5.68049914075926</v>
      </c>
    </row>
    <row r="924" spans="1:17">
      <c r="A924" s="8" t="s">
        <v>242</v>
      </c>
      <c r="B924" s="8" t="s">
        <v>200</v>
      </c>
      <c r="C924" s="8" t="s">
        <v>97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2.41391194765131</v>
      </c>
      <c r="K924" s="8">
        <v>0</v>
      </c>
      <c r="L924" s="8">
        <v>0</v>
      </c>
      <c r="M924" s="8">
        <v>0</v>
      </c>
    </row>
    <row r="925" spans="1:17">
      <c r="A925" s="8" t="s">
        <v>242</v>
      </c>
      <c r="B925" s="8" t="s">
        <v>200</v>
      </c>
      <c r="C925" s="8" t="s">
        <v>98</v>
      </c>
      <c r="D925" s="8">
        <v>0</v>
      </c>
      <c r="E925" s="8">
        <v>0</v>
      </c>
      <c r="F925" s="8">
        <v>0</v>
      </c>
      <c r="G925" s="8">
        <v>2.48507473821111</v>
      </c>
      <c r="H925" s="8">
        <v>0</v>
      </c>
      <c r="I925" s="8">
        <v>0</v>
      </c>
      <c r="J925" s="8">
        <v>5.30016718354765</v>
      </c>
      <c r="K925" s="8">
        <v>8.74993778689811</v>
      </c>
      <c r="L925" s="8">
        <v>1.24568081635381</v>
      </c>
      <c r="M925" s="8">
        <v>0</v>
      </c>
    </row>
    <row r="926" spans="1:17">
      <c r="A926" s="8" t="s">
        <v>242</v>
      </c>
      <c r="B926" s="8" t="s">
        <v>200</v>
      </c>
      <c r="C926" s="8" t="s">
        <v>95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9.3924931705395</v>
      </c>
      <c r="L926" s="8">
        <v>0</v>
      </c>
      <c r="M926" s="8">
        <v>0</v>
      </c>
    </row>
    <row r="927" spans="1:17">
      <c r="A927" s="8" t="s">
        <v>242</v>
      </c>
      <c r="B927" s="8" t="s">
        <v>200</v>
      </c>
      <c r="C927" s="8" t="s">
        <v>93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</row>
    <row r="928" spans="1:17">
      <c r="A928" s="8" t="s">
        <v>242</v>
      </c>
      <c r="B928" s="8" t="s">
        <v>200</v>
      </c>
      <c r="C928" s="8" t="s">
        <v>96</v>
      </c>
      <c r="D928" s="8">
        <v>0</v>
      </c>
      <c r="E928" s="8">
        <v>0</v>
      </c>
      <c r="F928" s="8">
        <v>0</v>
      </c>
      <c r="G928" s="8">
        <v>1.69541289089601</v>
      </c>
      <c r="H928" s="8">
        <v>0</v>
      </c>
      <c r="I928" s="8">
        <v>0</v>
      </c>
      <c r="J928" s="8">
        <v>0</v>
      </c>
      <c r="K928" s="8">
        <v>0</v>
      </c>
      <c r="L928" s="8">
        <v>4.70828510121686</v>
      </c>
      <c r="M928" s="8">
        <v>0</v>
      </c>
    </row>
    <row r="929" spans="1:17">
      <c r="A929" s="8" t="s">
        <v>242</v>
      </c>
      <c r="B929" s="8" t="s">
        <v>200</v>
      </c>
      <c r="C929" s="8" t="s">
        <v>94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10.9507487187849</v>
      </c>
      <c r="L929" s="8">
        <v>0</v>
      </c>
      <c r="M929" s="8">
        <v>0</v>
      </c>
    </row>
    <row r="930" spans="1:17">
      <c r="A930" s="8" t="s">
        <v>242</v>
      </c>
      <c r="B930" s="8" t="s">
        <v>201</v>
      </c>
      <c r="C930" s="8" t="s">
        <v>202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</row>
    <row r="932" spans="1:17">
      <c r="N932" s="11" t="s">
        <v>203</v>
      </c>
      <c r="O932" s="11" t="s">
        <v>203</v>
      </c>
      <c r="P932" s="11" t="s">
        <v>204</v>
      </c>
      <c r="Q932" s="11" t="s">
        <v>204</v>
      </c>
    </row>
    <row r="933" spans="1:17">
      <c r="B933" s="8" t="s">
        <v>242</v>
      </c>
      <c r="C933" s="8" t="s">
        <v>188</v>
      </c>
      <c r="D933" s="8">
        <f t="shared" ref="D933:M933" si="417">D916</f>
        <v>0</v>
      </c>
      <c r="E933" s="8">
        <f t="shared" si="417"/>
        <v>0</v>
      </c>
      <c r="F933" s="8">
        <f t="shared" si="417"/>
        <v>0</v>
      </c>
      <c r="G933" s="8">
        <f t="shared" si="417"/>
        <v>0</v>
      </c>
      <c r="H933" s="8">
        <f t="shared" si="417"/>
        <v>0</v>
      </c>
      <c r="I933" s="8">
        <f t="shared" si="417"/>
        <v>0</v>
      </c>
      <c r="J933" s="8">
        <f t="shared" si="417"/>
        <v>0</v>
      </c>
      <c r="K933" s="8">
        <f t="shared" si="417"/>
        <v>0</v>
      </c>
      <c r="L933" s="8">
        <f t="shared" si="417"/>
        <v>0</v>
      </c>
      <c r="M933" s="8">
        <f t="shared" si="417"/>
        <v>0</v>
      </c>
      <c r="N933" s="8">
        <f t="shared" ref="N933:N940" si="418">AVERAGE(D933:H933)</f>
        <v>0</v>
      </c>
      <c r="O933" s="8">
        <f t="shared" ref="O933:O940" si="419">AVERAGE(I933:M933)</f>
        <v>0</v>
      </c>
      <c r="P933" s="8">
        <f t="shared" ref="P933:P940" si="420">LOG(N933+1,2)</f>
        <v>0</v>
      </c>
      <c r="Q933" s="8">
        <f t="shared" ref="Q933:Q940" si="421">LOG(O933+1,2)</f>
        <v>0</v>
      </c>
    </row>
    <row r="934" spans="1:17">
      <c r="B934" s="8" t="s">
        <v>242</v>
      </c>
      <c r="C934" s="8" t="s">
        <v>190</v>
      </c>
      <c r="D934" s="8">
        <f t="shared" ref="D934:M934" si="422">D917</f>
        <v>3.53850824140472</v>
      </c>
      <c r="E934" s="8">
        <f t="shared" si="422"/>
        <v>0</v>
      </c>
      <c r="F934" s="8">
        <f t="shared" si="422"/>
        <v>3.92320280652242</v>
      </c>
      <c r="G934" s="8">
        <f t="shared" si="422"/>
        <v>0</v>
      </c>
      <c r="H934" s="8">
        <f t="shared" si="422"/>
        <v>0</v>
      </c>
      <c r="I934" s="8">
        <f t="shared" si="422"/>
        <v>0</v>
      </c>
      <c r="J934" s="8">
        <f t="shared" si="422"/>
        <v>0</v>
      </c>
      <c r="K934" s="8">
        <f t="shared" si="422"/>
        <v>0</v>
      </c>
      <c r="L934" s="8">
        <f t="shared" si="422"/>
        <v>0</v>
      </c>
      <c r="M934" s="8">
        <f t="shared" si="422"/>
        <v>0</v>
      </c>
      <c r="N934" s="8">
        <f t="shared" si="418"/>
        <v>1.49234220958543</v>
      </c>
      <c r="O934" s="8">
        <f t="shared" si="419"/>
        <v>0</v>
      </c>
      <c r="P934" s="8">
        <f t="shared" si="420"/>
        <v>1.31750217035887</v>
      </c>
      <c r="Q934" s="8">
        <f t="shared" si="421"/>
        <v>0</v>
      </c>
    </row>
    <row r="935" spans="1:17">
      <c r="B935" s="8" t="s">
        <v>242</v>
      </c>
      <c r="C935" s="8" t="s">
        <v>192</v>
      </c>
      <c r="D935" s="8">
        <f t="shared" ref="D935:M935" si="423">D918+D919</f>
        <v>3.53841846273237</v>
      </c>
      <c r="E935" s="8">
        <f t="shared" si="423"/>
        <v>0</v>
      </c>
      <c r="F935" s="8">
        <f t="shared" si="423"/>
        <v>0</v>
      </c>
      <c r="G935" s="8">
        <f t="shared" si="423"/>
        <v>0</v>
      </c>
      <c r="H935" s="8">
        <f t="shared" si="423"/>
        <v>1.70925821651066</v>
      </c>
      <c r="I935" s="8">
        <f t="shared" si="423"/>
        <v>0</v>
      </c>
      <c r="J935" s="8">
        <f t="shared" si="423"/>
        <v>0</v>
      </c>
      <c r="K935" s="8">
        <f t="shared" si="423"/>
        <v>0</v>
      </c>
      <c r="L935" s="8">
        <f t="shared" si="423"/>
        <v>0</v>
      </c>
      <c r="M935" s="8">
        <f t="shared" si="423"/>
        <v>0</v>
      </c>
      <c r="N935" s="8">
        <f t="shared" si="418"/>
        <v>1.04953533584861</v>
      </c>
      <c r="O935" s="8">
        <f t="shared" si="419"/>
        <v>0</v>
      </c>
      <c r="P935" s="8">
        <f t="shared" si="420"/>
        <v>1.03529686355849</v>
      </c>
      <c r="Q935" s="8">
        <f t="shared" si="421"/>
        <v>0</v>
      </c>
    </row>
    <row r="936" spans="1:17">
      <c r="B936" s="8" t="s">
        <v>242</v>
      </c>
      <c r="C936" s="8" t="s">
        <v>195</v>
      </c>
      <c r="D936" s="8">
        <f t="shared" ref="D936:M936" si="424">SUM(D920:D921)</f>
        <v>0</v>
      </c>
      <c r="E936" s="8">
        <f t="shared" si="424"/>
        <v>0</v>
      </c>
      <c r="F936" s="8">
        <f t="shared" si="424"/>
        <v>0</v>
      </c>
      <c r="G936" s="8">
        <f t="shared" si="424"/>
        <v>7.31401678975336</v>
      </c>
      <c r="H936" s="8">
        <f t="shared" si="424"/>
        <v>0</v>
      </c>
      <c r="I936" s="8">
        <f t="shared" si="424"/>
        <v>0</v>
      </c>
      <c r="J936" s="8">
        <f t="shared" si="424"/>
        <v>0</v>
      </c>
      <c r="K936" s="8">
        <f t="shared" si="424"/>
        <v>0</v>
      </c>
      <c r="L936" s="8">
        <f t="shared" si="424"/>
        <v>1.17580978514371</v>
      </c>
      <c r="M936" s="8">
        <f t="shared" si="424"/>
        <v>0</v>
      </c>
      <c r="N936" s="8">
        <f t="shared" si="418"/>
        <v>1.46280335795067</v>
      </c>
      <c r="O936" s="8">
        <f t="shared" si="419"/>
        <v>0.235161957028742</v>
      </c>
      <c r="P936" s="8">
        <f t="shared" si="420"/>
        <v>1.3003014407338</v>
      </c>
      <c r="Q936" s="8">
        <f t="shared" si="421"/>
        <v>0.304700223415534</v>
      </c>
    </row>
    <row r="937" spans="1:17">
      <c r="B937" s="8" t="s">
        <v>242</v>
      </c>
      <c r="C937" s="8" t="s">
        <v>198</v>
      </c>
      <c r="D937" s="8">
        <f t="shared" ref="D937:M937" si="425">D922</f>
        <v>0</v>
      </c>
      <c r="E937" s="8">
        <f t="shared" si="425"/>
        <v>0</v>
      </c>
      <c r="F937" s="8">
        <f t="shared" si="425"/>
        <v>0</v>
      </c>
      <c r="G937" s="8">
        <f t="shared" si="425"/>
        <v>22.1189427093818</v>
      </c>
      <c r="H937" s="8">
        <f t="shared" si="425"/>
        <v>0</v>
      </c>
      <c r="I937" s="8">
        <f t="shared" si="425"/>
        <v>2.72213066822604</v>
      </c>
      <c r="J937" s="8">
        <f t="shared" si="425"/>
        <v>0</v>
      </c>
      <c r="K937" s="8">
        <f t="shared" si="425"/>
        <v>0</v>
      </c>
      <c r="L937" s="8">
        <f t="shared" si="425"/>
        <v>0</v>
      </c>
      <c r="M937" s="8">
        <f t="shared" si="425"/>
        <v>0</v>
      </c>
      <c r="N937" s="8">
        <f t="shared" si="418"/>
        <v>4.42378854187635</v>
      </c>
      <c r="O937" s="8">
        <f t="shared" si="419"/>
        <v>0.544426133645208</v>
      </c>
      <c r="P937" s="8">
        <f t="shared" si="420"/>
        <v>2.4393009329851</v>
      </c>
      <c r="Q937" s="8">
        <f t="shared" si="421"/>
        <v>0.627070871825295</v>
      </c>
    </row>
    <row r="938" spans="1:17">
      <c r="B938" s="8" t="s">
        <v>242</v>
      </c>
      <c r="C938" s="8" t="s">
        <v>36</v>
      </c>
      <c r="D938" s="8">
        <f t="shared" ref="D938:M938" si="426">D923</f>
        <v>0</v>
      </c>
      <c r="E938" s="8">
        <f t="shared" si="426"/>
        <v>0</v>
      </c>
      <c r="F938" s="8">
        <f t="shared" si="426"/>
        <v>0</v>
      </c>
      <c r="G938" s="8">
        <f t="shared" si="426"/>
        <v>0</v>
      </c>
      <c r="H938" s="8">
        <f t="shared" si="426"/>
        <v>0</v>
      </c>
      <c r="I938" s="8">
        <f t="shared" si="426"/>
        <v>0</v>
      </c>
      <c r="J938" s="8">
        <f t="shared" si="426"/>
        <v>0</v>
      </c>
      <c r="K938" s="8">
        <f t="shared" si="426"/>
        <v>0</v>
      </c>
      <c r="L938" s="8">
        <f t="shared" si="426"/>
        <v>0</v>
      </c>
      <c r="M938" s="8">
        <f t="shared" si="426"/>
        <v>5.68049914075926</v>
      </c>
      <c r="N938" s="8">
        <f t="shared" si="418"/>
        <v>0</v>
      </c>
      <c r="O938" s="8">
        <f t="shared" si="419"/>
        <v>1.13609982815185</v>
      </c>
      <c r="P938" s="8">
        <f t="shared" si="420"/>
        <v>0</v>
      </c>
      <c r="Q938" s="8">
        <f t="shared" si="421"/>
        <v>1.09497907128306</v>
      </c>
    </row>
    <row r="939" spans="1:17">
      <c r="B939" s="8" t="s">
        <v>242</v>
      </c>
      <c r="C939" s="8" t="s">
        <v>200</v>
      </c>
      <c r="D939" s="8">
        <f t="shared" ref="D939:M939" si="427">SUM(D924:D929)</f>
        <v>0</v>
      </c>
      <c r="E939" s="8">
        <f t="shared" si="427"/>
        <v>0</v>
      </c>
      <c r="F939" s="8">
        <f t="shared" si="427"/>
        <v>0</v>
      </c>
      <c r="G939" s="8">
        <f t="shared" si="427"/>
        <v>4.18048762910712</v>
      </c>
      <c r="H939" s="8">
        <f t="shared" si="427"/>
        <v>0</v>
      </c>
      <c r="I939" s="8">
        <f t="shared" si="427"/>
        <v>0</v>
      </c>
      <c r="J939" s="8">
        <f t="shared" si="427"/>
        <v>7.71407913119896</v>
      </c>
      <c r="K939" s="8">
        <f t="shared" si="427"/>
        <v>29.0931796762225</v>
      </c>
      <c r="L939" s="8">
        <f t="shared" si="427"/>
        <v>5.95396591757067</v>
      </c>
      <c r="M939" s="8">
        <f t="shared" si="427"/>
        <v>0</v>
      </c>
      <c r="N939" s="8">
        <f t="shared" si="418"/>
        <v>0.836097525821424</v>
      </c>
      <c r="O939" s="8">
        <f t="shared" si="419"/>
        <v>8.55224494499842</v>
      </c>
      <c r="P939" s="8">
        <f t="shared" si="420"/>
        <v>0.876642690713683</v>
      </c>
      <c r="Q939" s="8">
        <f t="shared" si="421"/>
        <v>3.25583983161985</v>
      </c>
    </row>
    <row r="940" spans="1:17">
      <c r="B940" s="8" t="s">
        <v>242</v>
      </c>
      <c r="C940" s="8" t="s">
        <v>201</v>
      </c>
      <c r="D940" s="8">
        <f t="shared" ref="D940:M940" si="428">D930</f>
        <v>0</v>
      </c>
      <c r="E940" s="8">
        <f t="shared" si="428"/>
        <v>0</v>
      </c>
      <c r="F940" s="8">
        <f t="shared" si="428"/>
        <v>0</v>
      </c>
      <c r="G940" s="8">
        <f t="shared" si="428"/>
        <v>0</v>
      </c>
      <c r="H940" s="8">
        <f t="shared" si="428"/>
        <v>0</v>
      </c>
      <c r="I940" s="8">
        <f t="shared" si="428"/>
        <v>0</v>
      </c>
      <c r="J940" s="8">
        <f t="shared" si="428"/>
        <v>0</v>
      </c>
      <c r="K940" s="8">
        <f t="shared" si="428"/>
        <v>0</v>
      </c>
      <c r="L940" s="8">
        <f t="shared" si="428"/>
        <v>0</v>
      </c>
      <c r="M940" s="8">
        <f t="shared" si="428"/>
        <v>0</v>
      </c>
      <c r="N940" s="8">
        <f t="shared" si="418"/>
        <v>0</v>
      </c>
      <c r="O940" s="8">
        <f t="shared" si="419"/>
        <v>0</v>
      </c>
      <c r="P940" s="8">
        <f t="shared" si="420"/>
        <v>0</v>
      </c>
      <c r="Q940" s="8">
        <f t="shared" si="421"/>
        <v>0</v>
      </c>
    </row>
    <row r="945" spans="1:13">
      <c r="A945" s="21" t="s">
        <v>243</v>
      </c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 spans="1:13">
      <c r="A946" s="8" t="s">
        <v>244</v>
      </c>
      <c r="B946" s="8" t="s">
        <v>188</v>
      </c>
      <c r="C946" s="8" t="s">
        <v>189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</row>
    <row r="947" spans="1:13">
      <c r="A947" s="8" t="s">
        <v>244</v>
      </c>
      <c r="B947" s="8" t="s">
        <v>190</v>
      </c>
      <c r="C947" s="8" t="s">
        <v>191</v>
      </c>
      <c r="D947" s="8">
        <v>0</v>
      </c>
      <c r="E947" s="8">
        <v>8.72519949936988</v>
      </c>
      <c r="F947" s="8">
        <v>0</v>
      </c>
      <c r="G947" s="8">
        <v>0</v>
      </c>
      <c r="H947" s="8">
        <v>0</v>
      </c>
      <c r="I947" s="8">
        <v>0</v>
      </c>
      <c r="J947" s="8">
        <v>2.2930791968199</v>
      </c>
      <c r="K947" s="8">
        <v>0</v>
      </c>
      <c r="L947" s="8">
        <v>0</v>
      </c>
      <c r="M947" s="8">
        <v>0</v>
      </c>
    </row>
    <row r="948" spans="1:13">
      <c r="A948" s="8" t="s">
        <v>244</v>
      </c>
      <c r="B948" s="8" t="s">
        <v>192</v>
      </c>
      <c r="C948" s="8" t="s">
        <v>193</v>
      </c>
      <c r="D948" s="8">
        <v>6.21398887146501</v>
      </c>
      <c r="E948" s="8">
        <v>0</v>
      </c>
      <c r="F948" s="8">
        <v>0</v>
      </c>
      <c r="G948" s="8">
        <v>22.6179035348647</v>
      </c>
      <c r="H948" s="8">
        <v>0</v>
      </c>
      <c r="I948" s="8">
        <v>0</v>
      </c>
      <c r="J948" s="8">
        <v>2.21165567789362</v>
      </c>
      <c r="K948" s="8">
        <v>1.10341234236462</v>
      </c>
      <c r="L948" s="8">
        <v>12.0625448947091</v>
      </c>
      <c r="M948" s="8">
        <v>0</v>
      </c>
    </row>
    <row r="949" spans="1:13">
      <c r="A949" s="8" t="s">
        <v>244</v>
      </c>
      <c r="B949" s="8" t="s">
        <v>192</v>
      </c>
      <c r="C949" s="8" t="s">
        <v>194</v>
      </c>
      <c r="D949" s="8">
        <v>0</v>
      </c>
      <c r="E949" s="8">
        <v>3.29710337448649</v>
      </c>
      <c r="F949" s="8">
        <v>0</v>
      </c>
      <c r="G949" s="8">
        <v>36.9045955621493</v>
      </c>
      <c r="H949" s="8">
        <v>0</v>
      </c>
      <c r="I949" s="8">
        <v>0</v>
      </c>
      <c r="J949" s="8">
        <v>1.27409816297209</v>
      </c>
      <c r="K949" s="8">
        <v>0</v>
      </c>
      <c r="L949" s="8">
        <v>1.65014453199513</v>
      </c>
      <c r="M949" s="8">
        <v>5.73426260037644</v>
      </c>
    </row>
    <row r="950" spans="1:13">
      <c r="A950" s="8" t="s">
        <v>244</v>
      </c>
      <c r="B950" s="8" t="s">
        <v>195</v>
      </c>
      <c r="C950" s="8" t="s">
        <v>196</v>
      </c>
      <c r="D950" s="8">
        <v>0</v>
      </c>
      <c r="E950" s="8">
        <v>3.84424777468122</v>
      </c>
      <c r="F950" s="8">
        <v>0</v>
      </c>
      <c r="G950" s="8">
        <v>6.4284121921389</v>
      </c>
      <c r="H950" s="8">
        <v>0</v>
      </c>
      <c r="I950" s="8">
        <v>0</v>
      </c>
      <c r="J950" s="8">
        <v>0</v>
      </c>
      <c r="K950" s="8">
        <v>0.769765247051654</v>
      </c>
      <c r="L950" s="8">
        <v>3.06252827522404</v>
      </c>
      <c r="M950" s="8">
        <v>0</v>
      </c>
    </row>
    <row r="951" spans="1:13">
      <c r="A951" s="8" t="s">
        <v>244</v>
      </c>
      <c r="B951" s="8" t="s">
        <v>195</v>
      </c>
      <c r="C951" s="8" t="s">
        <v>197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</row>
    <row r="952" spans="1:13">
      <c r="A952" s="8" t="s">
        <v>244</v>
      </c>
      <c r="B952" s="8" t="s">
        <v>198</v>
      </c>
      <c r="C952" s="8" t="s">
        <v>199</v>
      </c>
      <c r="D952" s="8">
        <v>3.47746102677397</v>
      </c>
      <c r="E952" s="8">
        <v>0</v>
      </c>
      <c r="F952" s="8">
        <v>0</v>
      </c>
      <c r="G952" s="8">
        <v>26.55136909881</v>
      </c>
      <c r="H952" s="8">
        <v>0</v>
      </c>
      <c r="I952" s="8">
        <v>8.21595902155912</v>
      </c>
      <c r="J952" s="8">
        <v>1.61014061156822</v>
      </c>
      <c r="K952" s="8">
        <v>0</v>
      </c>
      <c r="L952" s="8">
        <v>7.13243236534072</v>
      </c>
      <c r="M952" s="8">
        <v>0</v>
      </c>
    </row>
    <row r="953" spans="1:13">
      <c r="A953" s="8" t="s">
        <v>244</v>
      </c>
      <c r="B953" s="8" t="s">
        <v>36</v>
      </c>
      <c r="C953" s="8" t="s">
        <v>130</v>
      </c>
      <c r="D953" s="8">
        <v>0</v>
      </c>
      <c r="E953" s="8">
        <v>0</v>
      </c>
      <c r="F953" s="8">
        <v>0</v>
      </c>
      <c r="G953" s="8">
        <v>0</v>
      </c>
      <c r="H953" s="8">
        <v>8.4281079427975</v>
      </c>
      <c r="I953" s="8">
        <v>0</v>
      </c>
      <c r="J953" s="8">
        <v>5.80779122261043</v>
      </c>
      <c r="K953" s="8">
        <v>0</v>
      </c>
      <c r="L953" s="8">
        <v>0</v>
      </c>
      <c r="M953" s="8">
        <v>0</v>
      </c>
    </row>
    <row r="954" spans="1:13">
      <c r="A954" s="8" t="s">
        <v>244</v>
      </c>
      <c r="B954" s="8" t="s">
        <v>200</v>
      </c>
      <c r="C954" s="8" t="s">
        <v>97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3.73695326949919</v>
      </c>
      <c r="L954" s="8">
        <v>4.85434469468398</v>
      </c>
      <c r="M954" s="8">
        <v>0</v>
      </c>
    </row>
    <row r="955" spans="1:13">
      <c r="A955" s="8" t="s">
        <v>244</v>
      </c>
      <c r="B955" s="8" t="s">
        <v>200</v>
      </c>
      <c r="C955" s="8" t="s">
        <v>98</v>
      </c>
      <c r="D955" s="8">
        <v>0</v>
      </c>
      <c r="E955" s="8">
        <v>1.32803895216504</v>
      </c>
      <c r="F955" s="8">
        <v>0</v>
      </c>
      <c r="G955" s="8">
        <v>0</v>
      </c>
      <c r="H955" s="8">
        <v>0</v>
      </c>
      <c r="I955" s="8">
        <v>0</v>
      </c>
      <c r="J955" s="8">
        <v>28.2920265208291</v>
      </c>
      <c r="K955" s="8">
        <v>0</v>
      </c>
      <c r="L955" s="8">
        <v>1.09869383647565</v>
      </c>
      <c r="M955" s="8">
        <v>0</v>
      </c>
    </row>
    <row r="956" spans="1:13">
      <c r="A956" s="8" t="s">
        <v>244</v>
      </c>
      <c r="B956" s="8" t="s">
        <v>200</v>
      </c>
      <c r="C956" s="8" t="s">
        <v>95</v>
      </c>
      <c r="D956" s="8">
        <v>0</v>
      </c>
      <c r="E956" s="8">
        <v>0.228264423622527</v>
      </c>
      <c r="F956" s="8">
        <v>0</v>
      </c>
      <c r="G956" s="8">
        <v>0</v>
      </c>
      <c r="H956" s="8">
        <v>0</v>
      </c>
      <c r="I956" s="8">
        <v>7.86114417538713</v>
      </c>
      <c r="J956" s="8">
        <v>0</v>
      </c>
      <c r="K956" s="8">
        <v>5.885526872933</v>
      </c>
      <c r="L956" s="8">
        <v>2.34334081575235</v>
      </c>
      <c r="M956" s="8">
        <v>0</v>
      </c>
    </row>
    <row r="957" spans="1:13">
      <c r="A957" s="8" t="s">
        <v>244</v>
      </c>
      <c r="B957" s="8" t="s">
        <v>200</v>
      </c>
      <c r="C957" s="8" t="s">
        <v>93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4.63136646219133</v>
      </c>
      <c r="K957" s="8">
        <v>4.54295951323606</v>
      </c>
      <c r="L957" s="8">
        <v>0</v>
      </c>
      <c r="M957" s="8">
        <v>0</v>
      </c>
    </row>
    <row r="958" spans="1:13">
      <c r="A958" s="8" t="s">
        <v>244</v>
      </c>
      <c r="B958" s="8" t="s">
        <v>200</v>
      </c>
      <c r="C958" s="8" t="s">
        <v>96</v>
      </c>
      <c r="D958" s="8">
        <v>0</v>
      </c>
      <c r="E958" s="8">
        <v>3.97001025348059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5.59458550327465</v>
      </c>
      <c r="M958" s="8">
        <v>0</v>
      </c>
    </row>
    <row r="959" spans="1:13">
      <c r="A959" s="8" t="s">
        <v>244</v>
      </c>
      <c r="B959" s="8" t="s">
        <v>200</v>
      </c>
      <c r="C959" s="8" t="s">
        <v>94</v>
      </c>
      <c r="D959" s="8">
        <v>0</v>
      </c>
      <c r="E959" s="8">
        <v>1.46524719141799</v>
      </c>
      <c r="F959" s="8">
        <v>10.3483518522576</v>
      </c>
      <c r="G959" s="8">
        <v>4.43500793668182</v>
      </c>
      <c r="H959" s="8">
        <v>0</v>
      </c>
      <c r="I959" s="8">
        <v>0</v>
      </c>
      <c r="J959" s="8">
        <v>1.42821628074954</v>
      </c>
      <c r="K959" s="8">
        <v>0</v>
      </c>
      <c r="L959" s="8">
        <v>6.09459951519246</v>
      </c>
      <c r="M959" s="8">
        <v>0</v>
      </c>
    </row>
    <row r="960" spans="1:13">
      <c r="A960" s="8" t="s">
        <v>244</v>
      </c>
      <c r="B960" s="8" t="s">
        <v>201</v>
      </c>
      <c r="C960" s="8" t="s">
        <v>202</v>
      </c>
      <c r="D960" s="8">
        <v>0</v>
      </c>
      <c r="E960" s="8">
        <v>0</v>
      </c>
      <c r="F960" s="8">
        <v>0</v>
      </c>
      <c r="G960" s="8">
        <v>15.8311916372605</v>
      </c>
      <c r="H960" s="8">
        <v>0</v>
      </c>
      <c r="I960" s="8">
        <v>0</v>
      </c>
      <c r="J960" s="8">
        <v>28.7791719251741</v>
      </c>
      <c r="K960" s="8">
        <v>0</v>
      </c>
      <c r="L960" s="8">
        <v>11.4211634124356</v>
      </c>
      <c r="M960" s="8">
        <v>40.4581675346986</v>
      </c>
    </row>
    <row r="962" spans="1:17">
      <c r="N962" s="11" t="s">
        <v>203</v>
      </c>
      <c r="O962" s="11" t="s">
        <v>203</v>
      </c>
      <c r="P962" s="11" t="s">
        <v>204</v>
      </c>
      <c r="Q962" s="11" t="s">
        <v>204</v>
      </c>
    </row>
    <row r="963" spans="1:17">
      <c r="B963" s="8" t="s">
        <v>244</v>
      </c>
      <c r="C963" s="8" t="s">
        <v>188</v>
      </c>
      <c r="D963" s="8">
        <f t="shared" ref="D963:M963" si="429">D946</f>
        <v>0</v>
      </c>
      <c r="E963" s="8">
        <f t="shared" si="429"/>
        <v>0</v>
      </c>
      <c r="F963" s="8">
        <f t="shared" si="429"/>
        <v>0</v>
      </c>
      <c r="G963" s="8">
        <f t="shared" si="429"/>
        <v>0</v>
      </c>
      <c r="H963" s="8">
        <f t="shared" si="429"/>
        <v>0</v>
      </c>
      <c r="I963" s="8">
        <f t="shared" si="429"/>
        <v>0</v>
      </c>
      <c r="J963" s="8">
        <f t="shared" si="429"/>
        <v>0</v>
      </c>
      <c r="K963" s="8">
        <f t="shared" si="429"/>
        <v>0</v>
      </c>
      <c r="L963" s="8">
        <f t="shared" si="429"/>
        <v>0</v>
      </c>
      <c r="M963" s="8">
        <f t="shared" si="429"/>
        <v>0</v>
      </c>
      <c r="N963" s="8">
        <f t="shared" ref="N963:N970" si="430">AVERAGE(D963:H963)</f>
        <v>0</v>
      </c>
      <c r="O963" s="8">
        <f t="shared" ref="O963:O970" si="431">AVERAGE(I963:M963)</f>
        <v>0</v>
      </c>
      <c r="P963" s="8">
        <f t="shared" ref="P963:P970" si="432">LOG(N963+1,2)</f>
        <v>0</v>
      </c>
      <c r="Q963" s="8">
        <f t="shared" ref="Q963:Q970" si="433">LOG(O963+1,2)</f>
        <v>0</v>
      </c>
    </row>
    <row r="964" spans="1:17">
      <c r="B964" s="8" t="s">
        <v>244</v>
      </c>
      <c r="C964" s="8" t="s">
        <v>190</v>
      </c>
      <c r="D964" s="8">
        <f t="shared" ref="D964:M964" si="434">D947</f>
        <v>0</v>
      </c>
      <c r="E964" s="8">
        <f t="shared" si="434"/>
        <v>8.72519949936988</v>
      </c>
      <c r="F964" s="8">
        <f t="shared" si="434"/>
        <v>0</v>
      </c>
      <c r="G964" s="8">
        <f t="shared" si="434"/>
        <v>0</v>
      </c>
      <c r="H964" s="8">
        <f t="shared" si="434"/>
        <v>0</v>
      </c>
      <c r="I964" s="8">
        <f t="shared" si="434"/>
        <v>0</v>
      </c>
      <c r="J964" s="8">
        <f t="shared" si="434"/>
        <v>2.2930791968199</v>
      </c>
      <c r="K964" s="8">
        <f t="shared" si="434"/>
        <v>0</v>
      </c>
      <c r="L964" s="8">
        <f t="shared" si="434"/>
        <v>0</v>
      </c>
      <c r="M964" s="8">
        <f t="shared" si="434"/>
        <v>0</v>
      </c>
      <c r="N964" s="8">
        <f t="shared" si="430"/>
        <v>1.74503989987398</v>
      </c>
      <c r="O964" s="8">
        <f t="shared" si="431"/>
        <v>0.458615839363979</v>
      </c>
      <c r="P964" s="8">
        <f t="shared" si="432"/>
        <v>1.45682711933319</v>
      </c>
      <c r="Q964" s="8">
        <f t="shared" si="433"/>
        <v>0.544599965762749</v>
      </c>
    </row>
    <row r="965" spans="1:17">
      <c r="B965" s="8" t="s">
        <v>244</v>
      </c>
      <c r="C965" s="8" t="s">
        <v>192</v>
      </c>
      <c r="D965" s="8">
        <f t="shared" ref="D965:M965" si="435">D948+D949</f>
        <v>6.21398887146501</v>
      </c>
      <c r="E965" s="8">
        <f t="shared" si="435"/>
        <v>3.29710337448649</v>
      </c>
      <c r="F965" s="8">
        <f t="shared" si="435"/>
        <v>0</v>
      </c>
      <c r="G965" s="8">
        <f t="shared" si="435"/>
        <v>59.522499097014</v>
      </c>
      <c r="H965" s="8">
        <f t="shared" si="435"/>
        <v>0</v>
      </c>
      <c r="I965" s="8">
        <f t="shared" si="435"/>
        <v>0</v>
      </c>
      <c r="J965" s="8">
        <f t="shared" si="435"/>
        <v>3.4857538408657</v>
      </c>
      <c r="K965" s="8">
        <f t="shared" si="435"/>
        <v>1.10341234236462</v>
      </c>
      <c r="L965" s="8">
        <f t="shared" si="435"/>
        <v>13.7126894267042</v>
      </c>
      <c r="M965" s="8">
        <f t="shared" si="435"/>
        <v>5.73426260037644</v>
      </c>
      <c r="N965" s="8">
        <f t="shared" si="430"/>
        <v>13.8067182685931</v>
      </c>
      <c r="O965" s="8">
        <f t="shared" si="431"/>
        <v>4.8072236420622</v>
      </c>
      <c r="P965" s="8">
        <f t="shared" si="432"/>
        <v>3.88818001490209</v>
      </c>
      <c r="Q965" s="8">
        <f t="shared" si="433"/>
        <v>2.53784859475719</v>
      </c>
    </row>
    <row r="966" spans="1:17">
      <c r="B966" s="8" t="s">
        <v>244</v>
      </c>
      <c r="C966" s="8" t="s">
        <v>195</v>
      </c>
      <c r="D966" s="8">
        <f t="shared" ref="D966:M966" si="436">SUM(D950:D951)</f>
        <v>0</v>
      </c>
      <c r="E966" s="8">
        <f t="shared" si="436"/>
        <v>3.84424777468122</v>
      </c>
      <c r="F966" s="8">
        <f t="shared" si="436"/>
        <v>0</v>
      </c>
      <c r="G966" s="8">
        <f t="shared" si="436"/>
        <v>6.4284121921389</v>
      </c>
      <c r="H966" s="8">
        <f t="shared" si="436"/>
        <v>0</v>
      </c>
      <c r="I966" s="8">
        <f t="shared" si="436"/>
        <v>0</v>
      </c>
      <c r="J966" s="8">
        <f t="shared" si="436"/>
        <v>0</v>
      </c>
      <c r="K966" s="8">
        <f t="shared" si="436"/>
        <v>0.769765247051654</v>
      </c>
      <c r="L966" s="8">
        <f t="shared" si="436"/>
        <v>3.06252827522404</v>
      </c>
      <c r="M966" s="8">
        <f t="shared" si="436"/>
        <v>0</v>
      </c>
      <c r="N966" s="8">
        <f t="shared" si="430"/>
        <v>2.05453199336402</v>
      </c>
      <c r="O966" s="8">
        <f t="shared" si="431"/>
        <v>0.766458704455139</v>
      </c>
      <c r="P966" s="8">
        <f t="shared" si="432"/>
        <v>1.61095135137769</v>
      </c>
      <c r="Q966" s="8">
        <f t="shared" si="433"/>
        <v>0.820860022891652</v>
      </c>
    </row>
    <row r="967" spans="1:17">
      <c r="B967" s="8" t="s">
        <v>244</v>
      </c>
      <c r="C967" s="8" t="s">
        <v>198</v>
      </c>
      <c r="D967" s="8">
        <f t="shared" ref="D967:M967" si="437">D952</f>
        <v>3.47746102677397</v>
      </c>
      <c r="E967" s="8">
        <f t="shared" si="437"/>
        <v>0</v>
      </c>
      <c r="F967" s="8">
        <f t="shared" si="437"/>
        <v>0</v>
      </c>
      <c r="G967" s="8">
        <f t="shared" si="437"/>
        <v>26.55136909881</v>
      </c>
      <c r="H967" s="8">
        <f t="shared" si="437"/>
        <v>0</v>
      </c>
      <c r="I967" s="8">
        <f t="shared" si="437"/>
        <v>8.21595902155912</v>
      </c>
      <c r="J967" s="8">
        <f t="shared" si="437"/>
        <v>1.61014061156822</v>
      </c>
      <c r="K967" s="8">
        <f t="shared" si="437"/>
        <v>0</v>
      </c>
      <c r="L967" s="8">
        <f t="shared" si="437"/>
        <v>7.13243236534072</v>
      </c>
      <c r="M967" s="8">
        <f t="shared" si="437"/>
        <v>0</v>
      </c>
      <c r="N967" s="8">
        <f t="shared" si="430"/>
        <v>6.0057660251168</v>
      </c>
      <c r="O967" s="8">
        <f t="shared" si="431"/>
        <v>3.39170639969361</v>
      </c>
      <c r="P967" s="8">
        <f t="shared" si="432"/>
        <v>2.80854280657555</v>
      </c>
      <c r="Q967" s="8">
        <f t="shared" si="433"/>
        <v>2.13478160856341</v>
      </c>
    </row>
    <row r="968" spans="1:17">
      <c r="B968" s="8" t="s">
        <v>244</v>
      </c>
      <c r="C968" s="8" t="s">
        <v>36</v>
      </c>
      <c r="D968" s="8">
        <f t="shared" ref="D968:M968" si="438">D953</f>
        <v>0</v>
      </c>
      <c r="E968" s="8">
        <f t="shared" si="438"/>
        <v>0</v>
      </c>
      <c r="F968" s="8">
        <f t="shared" si="438"/>
        <v>0</v>
      </c>
      <c r="G968" s="8">
        <f t="shared" si="438"/>
        <v>0</v>
      </c>
      <c r="H968" s="8">
        <f t="shared" si="438"/>
        <v>8.4281079427975</v>
      </c>
      <c r="I968" s="8">
        <f t="shared" si="438"/>
        <v>0</v>
      </c>
      <c r="J968" s="8">
        <f t="shared" si="438"/>
        <v>5.80779122261043</v>
      </c>
      <c r="K968" s="8">
        <f t="shared" si="438"/>
        <v>0</v>
      </c>
      <c r="L968" s="8">
        <f t="shared" si="438"/>
        <v>0</v>
      </c>
      <c r="M968" s="8">
        <f t="shared" si="438"/>
        <v>0</v>
      </c>
      <c r="N968" s="8">
        <f t="shared" si="430"/>
        <v>1.6856215885595</v>
      </c>
      <c r="O968" s="8">
        <f t="shared" si="431"/>
        <v>1.16155824452209</v>
      </c>
      <c r="P968" s="8">
        <f t="shared" si="432"/>
        <v>1.42525603940106</v>
      </c>
      <c r="Q968" s="8">
        <f t="shared" si="433"/>
        <v>1.1120717110666</v>
      </c>
    </row>
    <row r="969" spans="1:17">
      <c r="B969" s="8" t="s">
        <v>244</v>
      </c>
      <c r="C969" s="8" t="s">
        <v>200</v>
      </c>
      <c r="D969" s="8">
        <f t="shared" ref="D969:M969" si="439">SUM(D954:D959)</f>
        <v>0</v>
      </c>
      <c r="E969" s="8">
        <f t="shared" si="439"/>
        <v>6.99156082068614</v>
      </c>
      <c r="F969" s="8">
        <f t="shared" si="439"/>
        <v>10.3483518522576</v>
      </c>
      <c r="G969" s="8">
        <f t="shared" si="439"/>
        <v>4.43500793668182</v>
      </c>
      <c r="H969" s="8">
        <f t="shared" si="439"/>
        <v>0</v>
      </c>
      <c r="I969" s="8">
        <f t="shared" si="439"/>
        <v>7.86114417538713</v>
      </c>
      <c r="J969" s="8">
        <f t="shared" si="439"/>
        <v>34.35160926377</v>
      </c>
      <c r="K969" s="8">
        <f t="shared" si="439"/>
        <v>14.1654396556682</v>
      </c>
      <c r="L969" s="8">
        <f t="shared" si="439"/>
        <v>19.9855643653791</v>
      </c>
      <c r="M969" s="8">
        <f t="shared" si="439"/>
        <v>0</v>
      </c>
      <c r="N969" s="8">
        <f t="shared" si="430"/>
        <v>4.35498412192511</v>
      </c>
      <c r="O969" s="8">
        <f t="shared" si="431"/>
        <v>15.2727514920409</v>
      </c>
      <c r="P969" s="8">
        <f t="shared" si="432"/>
        <v>2.42088229724372</v>
      </c>
      <c r="Q969" s="8">
        <f t="shared" si="433"/>
        <v>4.02438630584279</v>
      </c>
    </row>
    <row r="970" spans="1:17">
      <c r="B970" s="8" t="s">
        <v>244</v>
      </c>
      <c r="C970" s="8" t="s">
        <v>201</v>
      </c>
      <c r="D970" s="8">
        <f t="shared" ref="D970:M970" si="440">D960</f>
        <v>0</v>
      </c>
      <c r="E970" s="8">
        <f t="shared" si="440"/>
        <v>0</v>
      </c>
      <c r="F970" s="8">
        <f t="shared" si="440"/>
        <v>0</v>
      </c>
      <c r="G970" s="8">
        <f t="shared" si="440"/>
        <v>15.8311916372605</v>
      </c>
      <c r="H970" s="8">
        <f t="shared" si="440"/>
        <v>0</v>
      </c>
      <c r="I970" s="8">
        <f t="shared" si="440"/>
        <v>0</v>
      </c>
      <c r="J970" s="8">
        <f t="shared" si="440"/>
        <v>28.7791719251741</v>
      </c>
      <c r="K970" s="8">
        <f t="shared" si="440"/>
        <v>0</v>
      </c>
      <c r="L970" s="8">
        <f t="shared" si="440"/>
        <v>11.4211634124356</v>
      </c>
      <c r="M970" s="8">
        <f t="shared" si="440"/>
        <v>40.4581675346986</v>
      </c>
      <c r="N970" s="8">
        <f t="shared" si="430"/>
        <v>3.16623832745211</v>
      </c>
      <c r="O970" s="8">
        <f t="shared" si="431"/>
        <v>16.1317005744617</v>
      </c>
      <c r="P970" s="8">
        <f t="shared" si="432"/>
        <v>2.05874537034319</v>
      </c>
      <c r="Q970" s="8">
        <f t="shared" si="433"/>
        <v>4.09859646222112</v>
      </c>
    </row>
    <row r="974" spans="1:17">
      <c r="A974" s="8" t="s">
        <v>245</v>
      </c>
      <c r="B974" s="8" t="s">
        <v>188</v>
      </c>
      <c r="C974" s="8" t="s">
        <v>189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13.7992392692543</v>
      </c>
      <c r="M974" s="8">
        <v>0</v>
      </c>
    </row>
    <row r="975" spans="1:17">
      <c r="A975" s="8" t="s">
        <v>245</v>
      </c>
      <c r="B975" s="8" t="s">
        <v>190</v>
      </c>
      <c r="C975" s="8" t="s">
        <v>191</v>
      </c>
      <c r="D975" s="8">
        <v>31.8434562623862</v>
      </c>
      <c r="E975" s="8">
        <v>6.6813943381561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2.30743588825072</v>
      </c>
      <c r="M975" s="8">
        <v>0</v>
      </c>
    </row>
    <row r="976" spans="1:17">
      <c r="A976" s="8" t="s">
        <v>245</v>
      </c>
      <c r="B976" s="8" t="s">
        <v>192</v>
      </c>
      <c r="C976" s="8" t="s">
        <v>193</v>
      </c>
      <c r="D976" s="8">
        <v>0</v>
      </c>
      <c r="E976" s="8">
        <v>0</v>
      </c>
      <c r="F976" s="8">
        <v>0</v>
      </c>
      <c r="G976" s="8">
        <v>6.77180140828973</v>
      </c>
      <c r="H976" s="8">
        <v>0</v>
      </c>
      <c r="I976" s="8">
        <v>0</v>
      </c>
      <c r="J976" s="8">
        <v>2.5023472994347</v>
      </c>
      <c r="K976" s="8">
        <v>0</v>
      </c>
      <c r="L976" s="8">
        <v>0</v>
      </c>
      <c r="M976" s="8">
        <v>5.32267230792675</v>
      </c>
    </row>
    <row r="977" spans="1:17">
      <c r="A977" s="8" t="s">
        <v>245</v>
      </c>
      <c r="B977" s="8" t="s">
        <v>192</v>
      </c>
      <c r="C977" s="8" t="s">
        <v>194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</row>
    <row r="978" spans="1:17">
      <c r="A978" s="8" t="s">
        <v>245</v>
      </c>
      <c r="B978" s="8" t="s">
        <v>195</v>
      </c>
      <c r="C978" s="8" t="s">
        <v>196</v>
      </c>
      <c r="D978" s="8">
        <v>0</v>
      </c>
      <c r="E978" s="8">
        <v>0</v>
      </c>
      <c r="F978" s="8">
        <v>0</v>
      </c>
      <c r="G978" s="8">
        <v>2.52494890082373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</row>
    <row r="979" spans="1:17">
      <c r="A979" s="8" t="s">
        <v>245</v>
      </c>
      <c r="B979" s="8" t="s">
        <v>195</v>
      </c>
      <c r="C979" s="8" t="s">
        <v>197</v>
      </c>
      <c r="D979" s="8">
        <v>0</v>
      </c>
      <c r="E979" s="8">
        <v>0</v>
      </c>
      <c r="F979" s="8">
        <v>0</v>
      </c>
      <c r="G979" s="8">
        <v>11.083775161826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</row>
    <row r="980" spans="1:17">
      <c r="A980" s="8" t="s">
        <v>245</v>
      </c>
      <c r="B980" s="8" t="s">
        <v>198</v>
      </c>
      <c r="C980" s="8" t="s">
        <v>199</v>
      </c>
      <c r="D980" s="8">
        <v>17.7523615682652</v>
      </c>
      <c r="E980" s="8">
        <v>0</v>
      </c>
      <c r="F980" s="8">
        <v>0</v>
      </c>
      <c r="G980" s="8">
        <v>6.12672532631955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</row>
    <row r="981" spans="1:17">
      <c r="A981" s="8" t="s">
        <v>245</v>
      </c>
      <c r="B981" s="8" t="s">
        <v>36</v>
      </c>
      <c r="C981" s="8" t="s">
        <v>130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</row>
    <row r="982" spans="1:17">
      <c r="A982" s="8" t="s">
        <v>245</v>
      </c>
      <c r="B982" s="8" t="s">
        <v>200</v>
      </c>
      <c r="C982" s="8" t="s">
        <v>97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4.97177466621341</v>
      </c>
    </row>
    <row r="983" spans="1:17">
      <c r="A983" s="8" t="s">
        <v>245</v>
      </c>
      <c r="B983" s="8" t="s">
        <v>200</v>
      </c>
      <c r="C983" s="8" t="s">
        <v>98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6.48913196212291</v>
      </c>
      <c r="M983" s="8">
        <v>2.55497356150507</v>
      </c>
    </row>
    <row r="984" spans="1:17">
      <c r="A984" s="8" t="s">
        <v>245</v>
      </c>
      <c r="B984" s="8" t="s">
        <v>200</v>
      </c>
      <c r="C984" s="8" t="s">
        <v>95</v>
      </c>
      <c r="D984" s="8">
        <v>0</v>
      </c>
      <c r="E984" s="8">
        <v>0</v>
      </c>
      <c r="F984" s="8">
        <v>0</v>
      </c>
      <c r="G984" s="8">
        <v>3.52016098663168</v>
      </c>
      <c r="H984" s="8">
        <v>0</v>
      </c>
      <c r="I984" s="8">
        <v>0</v>
      </c>
      <c r="J984" s="8">
        <v>0</v>
      </c>
      <c r="K984" s="8">
        <v>2.87938527994478</v>
      </c>
      <c r="L984" s="8">
        <v>0</v>
      </c>
      <c r="M984" s="8">
        <v>0</v>
      </c>
    </row>
    <row r="985" spans="1:17">
      <c r="A985" s="8" t="s">
        <v>245</v>
      </c>
      <c r="B985" s="8" t="s">
        <v>200</v>
      </c>
      <c r="C985" s="8" t="s">
        <v>93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</row>
    <row r="986" spans="1:17">
      <c r="A986" s="8" t="s">
        <v>245</v>
      </c>
      <c r="B986" s="8" t="s">
        <v>200</v>
      </c>
      <c r="C986" s="8" t="s">
        <v>96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</row>
    <row r="987" spans="1:17">
      <c r="A987" s="8" t="s">
        <v>245</v>
      </c>
      <c r="B987" s="8" t="s">
        <v>200</v>
      </c>
      <c r="C987" s="8" t="s">
        <v>94</v>
      </c>
      <c r="D987" s="8">
        <v>0</v>
      </c>
      <c r="E987" s="8">
        <v>0.298505584363979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4.2093147717585</v>
      </c>
      <c r="M987" s="8">
        <v>0</v>
      </c>
    </row>
    <row r="988" spans="1:17">
      <c r="A988" s="8" t="s">
        <v>245</v>
      </c>
      <c r="B988" s="8" t="s">
        <v>201</v>
      </c>
      <c r="C988" s="8" t="s">
        <v>202</v>
      </c>
      <c r="D988" s="8">
        <v>0</v>
      </c>
      <c r="E988" s="8">
        <v>1.44843968195161</v>
      </c>
      <c r="F988" s="8">
        <v>0</v>
      </c>
      <c r="G988" s="8">
        <v>6.04910292121814</v>
      </c>
      <c r="H988" s="8">
        <v>0</v>
      </c>
      <c r="I988" s="8">
        <v>0</v>
      </c>
      <c r="J988" s="8">
        <v>0</v>
      </c>
      <c r="K988" s="8">
        <v>0</v>
      </c>
      <c r="L988" s="8">
        <v>6.51983908079858</v>
      </c>
      <c r="M988" s="8">
        <v>17.0606916113114</v>
      </c>
    </row>
    <row r="990" spans="1:17">
      <c r="N990" s="11" t="s">
        <v>203</v>
      </c>
      <c r="O990" s="11" t="s">
        <v>203</v>
      </c>
      <c r="P990" s="11" t="s">
        <v>204</v>
      </c>
      <c r="Q990" s="11" t="s">
        <v>204</v>
      </c>
    </row>
    <row r="991" spans="1:17">
      <c r="B991" s="8" t="s">
        <v>245</v>
      </c>
      <c r="C991" s="8" t="s">
        <v>188</v>
      </c>
      <c r="D991" s="8">
        <f t="shared" ref="D991:M991" si="441">D974</f>
        <v>0</v>
      </c>
      <c r="E991" s="8">
        <f t="shared" si="441"/>
        <v>0</v>
      </c>
      <c r="F991" s="8">
        <f t="shared" si="441"/>
        <v>0</v>
      </c>
      <c r="G991" s="8">
        <f t="shared" si="441"/>
        <v>0</v>
      </c>
      <c r="H991" s="8">
        <f t="shared" si="441"/>
        <v>0</v>
      </c>
      <c r="I991" s="8">
        <f t="shared" si="441"/>
        <v>0</v>
      </c>
      <c r="J991" s="8">
        <f t="shared" si="441"/>
        <v>0</v>
      </c>
      <c r="K991" s="8">
        <f t="shared" si="441"/>
        <v>0</v>
      </c>
      <c r="L991" s="8">
        <f t="shared" si="441"/>
        <v>13.7992392692543</v>
      </c>
      <c r="M991" s="8">
        <f t="shared" si="441"/>
        <v>0</v>
      </c>
      <c r="N991" s="8">
        <f t="shared" ref="N991:N998" si="442">AVERAGE(D991:H991)</f>
        <v>0</v>
      </c>
      <c r="O991" s="8">
        <f t="shared" ref="O991:O998" si="443">AVERAGE(I991:M991)</f>
        <v>2.75984785385085</v>
      </c>
      <c r="P991" s="8">
        <f t="shared" ref="P991:P998" si="444">LOG(N991+1,2)</f>
        <v>0</v>
      </c>
      <c r="Q991" s="8">
        <f t="shared" ref="Q991:Q998" si="445">LOG(O991+1,2)</f>
        <v>1.91067428293058</v>
      </c>
    </row>
    <row r="992" spans="1:17">
      <c r="B992" s="8" t="s">
        <v>245</v>
      </c>
      <c r="C992" s="8" t="s">
        <v>190</v>
      </c>
      <c r="D992" s="8">
        <f t="shared" ref="D992:M992" si="446">D975</f>
        <v>31.8434562623862</v>
      </c>
      <c r="E992" s="8">
        <f t="shared" si="446"/>
        <v>6.6813943381561</v>
      </c>
      <c r="F992" s="8">
        <f t="shared" si="446"/>
        <v>0</v>
      </c>
      <c r="G992" s="8">
        <f t="shared" si="446"/>
        <v>0</v>
      </c>
      <c r="H992" s="8">
        <f t="shared" si="446"/>
        <v>0</v>
      </c>
      <c r="I992" s="8">
        <f t="shared" si="446"/>
        <v>0</v>
      </c>
      <c r="J992" s="8">
        <f t="shared" si="446"/>
        <v>0</v>
      </c>
      <c r="K992" s="8">
        <f t="shared" si="446"/>
        <v>0</v>
      </c>
      <c r="L992" s="8">
        <f t="shared" si="446"/>
        <v>2.30743588825072</v>
      </c>
      <c r="M992" s="8">
        <f t="shared" si="446"/>
        <v>0</v>
      </c>
      <c r="N992" s="8">
        <f t="shared" si="442"/>
        <v>7.70497012010846</v>
      </c>
      <c r="O992" s="8">
        <f t="shared" si="443"/>
        <v>0.461487177650145</v>
      </c>
      <c r="P992" s="8">
        <f t="shared" si="444"/>
        <v>3.12183934582062</v>
      </c>
      <c r="Q992" s="8">
        <f t="shared" si="445"/>
        <v>0.547437171722346</v>
      </c>
    </row>
    <row r="993" spans="1:17">
      <c r="B993" s="8" t="s">
        <v>245</v>
      </c>
      <c r="C993" s="8" t="s">
        <v>192</v>
      </c>
      <c r="D993" s="8">
        <f t="shared" ref="D993:M993" si="447">D976+D977</f>
        <v>0</v>
      </c>
      <c r="E993" s="8">
        <f t="shared" si="447"/>
        <v>0</v>
      </c>
      <c r="F993" s="8">
        <f t="shared" si="447"/>
        <v>0</v>
      </c>
      <c r="G993" s="8">
        <f t="shared" si="447"/>
        <v>6.77180140828973</v>
      </c>
      <c r="H993" s="8">
        <f t="shared" si="447"/>
        <v>0</v>
      </c>
      <c r="I993" s="8">
        <f t="shared" si="447"/>
        <v>0</v>
      </c>
      <c r="J993" s="8">
        <f t="shared" si="447"/>
        <v>2.5023472994347</v>
      </c>
      <c r="K993" s="8">
        <f t="shared" si="447"/>
        <v>0</v>
      </c>
      <c r="L993" s="8">
        <f t="shared" si="447"/>
        <v>0</v>
      </c>
      <c r="M993" s="8">
        <f t="shared" si="447"/>
        <v>5.32267230792675</v>
      </c>
      <c r="N993" s="8">
        <f t="shared" si="442"/>
        <v>1.35436028165795</v>
      </c>
      <c r="O993" s="8">
        <f t="shared" si="443"/>
        <v>1.56500392147229</v>
      </c>
      <c r="P993" s="8">
        <f t="shared" si="444"/>
        <v>1.23533510915681</v>
      </c>
      <c r="Q993" s="8">
        <f t="shared" si="445"/>
        <v>1.35896103147923</v>
      </c>
    </row>
    <row r="994" spans="1:17">
      <c r="B994" s="8" t="s">
        <v>245</v>
      </c>
      <c r="C994" s="8" t="s">
        <v>195</v>
      </c>
      <c r="D994" s="8">
        <f t="shared" ref="D994:M994" si="448">SUM(D978:D979)</f>
        <v>0</v>
      </c>
      <c r="E994" s="8">
        <f t="shared" si="448"/>
        <v>0</v>
      </c>
      <c r="F994" s="8">
        <f t="shared" si="448"/>
        <v>0</v>
      </c>
      <c r="G994" s="8">
        <f t="shared" si="448"/>
        <v>13.6087240626497</v>
      </c>
      <c r="H994" s="8">
        <f t="shared" si="448"/>
        <v>0</v>
      </c>
      <c r="I994" s="8">
        <f t="shared" si="448"/>
        <v>0</v>
      </c>
      <c r="J994" s="8">
        <f t="shared" si="448"/>
        <v>0</v>
      </c>
      <c r="K994" s="8">
        <f t="shared" si="448"/>
        <v>0</v>
      </c>
      <c r="L994" s="8">
        <f t="shared" si="448"/>
        <v>0</v>
      </c>
      <c r="M994" s="8">
        <f t="shared" si="448"/>
        <v>0</v>
      </c>
      <c r="N994" s="8">
        <f t="shared" si="442"/>
        <v>2.72174481252995</v>
      </c>
      <c r="O994" s="8">
        <f t="shared" si="443"/>
        <v>0</v>
      </c>
      <c r="P994" s="8">
        <f t="shared" si="444"/>
        <v>1.89597913806259</v>
      </c>
      <c r="Q994" s="8">
        <f t="shared" si="445"/>
        <v>0</v>
      </c>
    </row>
    <row r="995" spans="1:17">
      <c r="B995" s="8" t="s">
        <v>245</v>
      </c>
      <c r="C995" s="8" t="s">
        <v>198</v>
      </c>
      <c r="D995" s="8">
        <f t="shared" ref="D995:M995" si="449">D980</f>
        <v>17.7523615682652</v>
      </c>
      <c r="E995" s="8">
        <f t="shared" si="449"/>
        <v>0</v>
      </c>
      <c r="F995" s="8">
        <f t="shared" si="449"/>
        <v>0</v>
      </c>
      <c r="G995" s="8">
        <f t="shared" si="449"/>
        <v>6.12672532631955</v>
      </c>
      <c r="H995" s="8">
        <f t="shared" si="449"/>
        <v>0</v>
      </c>
      <c r="I995" s="8">
        <f t="shared" si="449"/>
        <v>0</v>
      </c>
      <c r="J995" s="8">
        <f t="shared" si="449"/>
        <v>0</v>
      </c>
      <c r="K995" s="8">
        <f t="shared" si="449"/>
        <v>0</v>
      </c>
      <c r="L995" s="8">
        <f t="shared" si="449"/>
        <v>0</v>
      </c>
      <c r="M995" s="8">
        <f t="shared" si="449"/>
        <v>0</v>
      </c>
      <c r="N995" s="8">
        <f t="shared" si="442"/>
        <v>4.77581737891695</v>
      </c>
      <c r="O995" s="8">
        <f t="shared" si="443"/>
        <v>0</v>
      </c>
      <c r="P995" s="8">
        <f t="shared" si="444"/>
        <v>2.5300251274924</v>
      </c>
      <c r="Q995" s="8">
        <f t="shared" si="445"/>
        <v>0</v>
      </c>
    </row>
    <row r="996" spans="1:17">
      <c r="B996" s="8" t="s">
        <v>245</v>
      </c>
      <c r="C996" s="8" t="s">
        <v>36</v>
      </c>
      <c r="D996" s="8">
        <f t="shared" ref="D996:M996" si="450">D981</f>
        <v>0</v>
      </c>
      <c r="E996" s="8">
        <f t="shared" si="450"/>
        <v>0</v>
      </c>
      <c r="F996" s="8">
        <f t="shared" si="450"/>
        <v>0</v>
      </c>
      <c r="G996" s="8">
        <f t="shared" si="450"/>
        <v>0</v>
      </c>
      <c r="H996" s="8">
        <f t="shared" si="450"/>
        <v>0</v>
      </c>
      <c r="I996" s="8">
        <f t="shared" si="450"/>
        <v>0</v>
      </c>
      <c r="J996" s="8">
        <f t="shared" si="450"/>
        <v>0</v>
      </c>
      <c r="K996" s="8">
        <f t="shared" si="450"/>
        <v>0</v>
      </c>
      <c r="L996" s="8">
        <f t="shared" si="450"/>
        <v>0</v>
      </c>
      <c r="M996" s="8">
        <f t="shared" si="450"/>
        <v>0</v>
      </c>
      <c r="N996" s="8">
        <f t="shared" si="442"/>
        <v>0</v>
      </c>
      <c r="O996" s="8">
        <f t="shared" si="443"/>
        <v>0</v>
      </c>
      <c r="P996" s="8">
        <f t="shared" si="444"/>
        <v>0</v>
      </c>
      <c r="Q996" s="8">
        <f t="shared" si="445"/>
        <v>0</v>
      </c>
    </row>
    <row r="997" spans="1:17">
      <c r="B997" s="8" t="s">
        <v>245</v>
      </c>
      <c r="C997" s="8" t="s">
        <v>200</v>
      </c>
      <c r="D997" s="8">
        <f t="shared" ref="D997:M997" si="451">SUM(D982:D987)</f>
        <v>0</v>
      </c>
      <c r="E997" s="8">
        <f t="shared" si="451"/>
        <v>0.298505584363979</v>
      </c>
      <c r="F997" s="8">
        <f t="shared" si="451"/>
        <v>0</v>
      </c>
      <c r="G997" s="8">
        <f t="shared" si="451"/>
        <v>3.52016098663168</v>
      </c>
      <c r="H997" s="8">
        <f t="shared" si="451"/>
        <v>0</v>
      </c>
      <c r="I997" s="8">
        <f t="shared" si="451"/>
        <v>0</v>
      </c>
      <c r="J997" s="8">
        <f t="shared" si="451"/>
        <v>0</v>
      </c>
      <c r="K997" s="8">
        <f t="shared" si="451"/>
        <v>2.87938527994478</v>
      </c>
      <c r="L997" s="8">
        <f t="shared" si="451"/>
        <v>10.6984467338814</v>
      </c>
      <c r="M997" s="8">
        <f t="shared" si="451"/>
        <v>7.52674822771849</v>
      </c>
      <c r="N997" s="8">
        <f t="shared" si="442"/>
        <v>0.763733314199132</v>
      </c>
      <c r="O997" s="8">
        <f t="shared" si="443"/>
        <v>4.22091604830894</v>
      </c>
      <c r="P997" s="8">
        <f t="shared" si="444"/>
        <v>0.818632434269154</v>
      </c>
      <c r="Q997" s="8">
        <f t="shared" si="445"/>
        <v>2.38430296051267</v>
      </c>
    </row>
    <row r="998" spans="1:17">
      <c r="B998" s="8" t="s">
        <v>245</v>
      </c>
      <c r="C998" s="8" t="s">
        <v>201</v>
      </c>
      <c r="D998" s="8">
        <f t="shared" ref="D998:M998" si="452">D988</f>
        <v>0</v>
      </c>
      <c r="E998" s="8">
        <f t="shared" si="452"/>
        <v>1.44843968195161</v>
      </c>
      <c r="F998" s="8">
        <f t="shared" si="452"/>
        <v>0</v>
      </c>
      <c r="G998" s="8">
        <f t="shared" si="452"/>
        <v>6.04910292121814</v>
      </c>
      <c r="H998" s="8">
        <f t="shared" si="452"/>
        <v>0</v>
      </c>
      <c r="I998" s="8">
        <f t="shared" si="452"/>
        <v>0</v>
      </c>
      <c r="J998" s="8">
        <f t="shared" si="452"/>
        <v>0</v>
      </c>
      <c r="K998" s="8">
        <f t="shared" si="452"/>
        <v>0</v>
      </c>
      <c r="L998" s="8">
        <f t="shared" si="452"/>
        <v>6.51983908079858</v>
      </c>
      <c r="M998" s="8">
        <f t="shared" si="452"/>
        <v>17.0606916113114</v>
      </c>
      <c r="N998" s="8">
        <f t="shared" si="442"/>
        <v>1.49950852063395</v>
      </c>
      <c r="O998" s="8">
        <f t="shared" si="443"/>
        <v>4.71610613842199</v>
      </c>
      <c r="P998" s="8">
        <f t="shared" si="444"/>
        <v>1.3216444450672</v>
      </c>
      <c r="Q998" s="8">
        <f t="shared" si="445"/>
        <v>2.51503270508898</v>
      </c>
    </row>
    <row r="1001" spans="1:17">
      <c r="A1001" s="8" t="s">
        <v>246</v>
      </c>
      <c r="B1001" s="8" t="s">
        <v>188</v>
      </c>
      <c r="C1001" s="8" t="s">
        <v>189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</row>
    <row r="1002" spans="1:17">
      <c r="A1002" s="8" t="s">
        <v>246</v>
      </c>
      <c r="B1002" s="8" t="s">
        <v>190</v>
      </c>
      <c r="C1002" s="8" t="s">
        <v>191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</row>
    <row r="1003" spans="1:17">
      <c r="A1003" s="8" t="s">
        <v>246</v>
      </c>
      <c r="B1003" s="8" t="s">
        <v>192</v>
      </c>
      <c r="C1003" s="8" t="s">
        <v>193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</row>
    <row r="1004" spans="1:17">
      <c r="A1004" s="8" t="s">
        <v>246</v>
      </c>
      <c r="B1004" s="8" t="s">
        <v>192</v>
      </c>
      <c r="C1004" s="8" t="s">
        <v>194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</row>
    <row r="1005" spans="1:17">
      <c r="A1005" s="8" t="s">
        <v>246</v>
      </c>
      <c r="B1005" s="8" t="s">
        <v>195</v>
      </c>
      <c r="C1005" s="8" t="s">
        <v>196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</row>
    <row r="1006" spans="1:17">
      <c r="A1006" s="8" t="s">
        <v>246</v>
      </c>
      <c r="B1006" s="8" t="s">
        <v>195</v>
      </c>
      <c r="C1006" s="8" t="s">
        <v>197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</row>
    <row r="1007" spans="1:17">
      <c r="A1007" s="8" t="s">
        <v>246</v>
      </c>
      <c r="B1007" s="8" t="s">
        <v>198</v>
      </c>
      <c r="C1007" s="8" t="s">
        <v>199</v>
      </c>
      <c r="D1007" s="8">
        <v>7.59611994635906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</row>
    <row r="1008" spans="1:17">
      <c r="A1008" s="8" t="s">
        <v>246</v>
      </c>
      <c r="B1008" s="8" t="s">
        <v>36</v>
      </c>
      <c r="C1008" s="8" t="s">
        <v>130</v>
      </c>
      <c r="D1008" s="8">
        <v>0</v>
      </c>
      <c r="E1008" s="8">
        <v>0</v>
      </c>
      <c r="F1008" s="8">
        <v>1.49818331833929</v>
      </c>
      <c r="G1008" s="8">
        <v>0</v>
      </c>
      <c r="H1008" s="8">
        <v>0</v>
      </c>
      <c r="I1008" s="8">
        <v>0</v>
      </c>
      <c r="J1008" s="8">
        <v>6.48401334146285</v>
      </c>
      <c r="K1008" s="8">
        <v>0</v>
      </c>
      <c r="L1008" s="8">
        <v>0</v>
      </c>
      <c r="M1008" s="8">
        <v>0</v>
      </c>
    </row>
    <row r="1009" spans="1:17">
      <c r="A1009" s="8" t="s">
        <v>246</v>
      </c>
      <c r="B1009" s="8" t="s">
        <v>200</v>
      </c>
      <c r="C1009" s="8" t="s">
        <v>97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5.48086475631185</v>
      </c>
      <c r="L1009" s="8">
        <v>12.8104484807237</v>
      </c>
      <c r="M1009" s="8">
        <v>0</v>
      </c>
    </row>
    <row r="1010" spans="1:17">
      <c r="A1010" s="8" t="s">
        <v>246</v>
      </c>
      <c r="B1010" s="8" t="s">
        <v>200</v>
      </c>
      <c r="C1010" s="8" t="s">
        <v>98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7.28670721473025</v>
      </c>
      <c r="K1010" s="8">
        <v>0</v>
      </c>
      <c r="L1010" s="8">
        <v>0</v>
      </c>
      <c r="M1010" s="8">
        <v>0</v>
      </c>
    </row>
    <row r="1011" spans="1:17">
      <c r="A1011" s="8" t="s">
        <v>246</v>
      </c>
      <c r="B1011" s="8" t="s">
        <v>200</v>
      </c>
      <c r="C1011" s="8" t="s">
        <v>95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4.03553986005815</v>
      </c>
      <c r="M1011" s="8">
        <v>0</v>
      </c>
    </row>
    <row r="1012" spans="1:17">
      <c r="A1012" s="8" t="s">
        <v>246</v>
      </c>
      <c r="B1012" s="8" t="s">
        <v>200</v>
      </c>
      <c r="C1012" s="8" t="s">
        <v>93</v>
      </c>
      <c r="D1012" s="8">
        <v>0</v>
      </c>
      <c r="E1012" s="8">
        <v>1.96175580415294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2.44176513549226</v>
      </c>
      <c r="L1012" s="8">
        <v>0</v>
      </c>
      <c r="M1012" s="8">
        <v>0</v>
      </c>
    </row>
    <row r="1013" spans="1:17">
      <c r="A1013" s="8" t="s">
        <v>246</v>
      </c>
      <c r="B1013" s="8" t="s">
        <v>200</v>
      </c>
      <c r="C1013" s="8" t="s">
        <v>96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</row>
    <row r="1014" spans="1:17">
      <c r="A1014" s="8" t="s">
        <v>246</v>
      </c>
      <c r="B1014" s="8" t="s">
        <v>200</v>
      </c>
      <c r="C1014" s="8" t="s">
        <v>94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2.27482059351094</v>
      </c>
      <c r="L1014" s="8">
        <v>2.00133655497162</v>
      </c>
      <c r="M1014" s="8">
        <v>0</v>
      </c>
    </row>
    <row r="1015" spans="1:17">
      <c r="A1015" s="8" t="s">
        <v>246</v>
      </c>
      <c r="B1015" s="8" t="s">
        <v>201</v>
      </c>
      <c r="C1015" s="8" t="s">
        <v>202</v>
      </c>
      <c r="D1015" s="8">
        <v>0</v>
      </c>
      <c r="E1015" s="8">
        <v>4.81277296758869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2.95790326214704</v>
      </c>
      <c r="M1015" s="8">
        <v>0</v>
      </c>
    </row>
    <row r="1017" spans="1:17">
      <c r="N1017" s="11" t="s">
        <v>203</v>
      </c>
      <c r="O1017" s="11" t="s">
        <v>203</v>
      </c>
      <c r="P1017" s="11" t="s">
        <v>204</v>
      </c>
      <c r="Q1017" s="11" t="s">
        <v>204</v>
      </c>
    </row>
    <row r="1018" spans="1:17">
      <c r="B1018" s="8" t="s">
        <v>246</v>
      </c>
      <c r="C1018" s="8" t="s">
        <v>188</v>
      </c>
      <c r="D1018" s="8">
        <f t="shared" ref="D1018:M1018" si="453">D1001</f>
        <v>0</v>
      </c>
      <c r="E1018" s="8">
        <f t="shared" si="453"/>
        <v>0</v>
      </c>
      <c r="F1018" s="8">
        <f t="shared" si="453"/>
        <v>0</v>
      </c>
      <c r="G1018" s="8">
        <f t="shared" si="453"/>
        <v>0</v>
      </c>
      <c r="H1018" s="8">
        <f t="shared" si="453"/>
        <v>0</v>
      </c>
      <c r="I1018" s="8">
        <f t="shared" si="453"/>
        <v>0</v>
      </c>
      <c r="J1018" s="8">
        <f t="shared" si="453"/>
        <v>0</v>
      </c>
      <c r="K1018" s="8">
        <f t="shared" si="453"/>
        <v>0</v>
      </c>
      <c r="L1018" s="8">
        <f t="shared" si="453"/>
        <v>0</v>
      </c>
      <c r="M1018" s="8">
        <f t="shared" si="453"/>
        <v>0</v>
      </c>
      <c r="N1018" s="8">
        <f t="shared" ref="N1018:N1025" si="454">AVERAGE(D1018:H1018)</f>
        <v>0</v>
      </c>
      <c r="O1018" s="8">
        <f t="shared" ref="O1018:O1025" si="455">AVERAGE(I1018:M1018)</f>
        <v>0</v>
      </c>
      <c r="P1018" s="8">
        <f t="shared" ref="P1018:P1025" si="456">LOG(N1018+1,2)</f>
        <v>0</v>
      </c>
      <c r="Q1018" s="8">
        <f t="shared" ref="Q1018:Q1025" si="457">LOG(O1018+1,2)</f>
        <v>0</v>
      </c>
    </row>
    <row r="1019" spans="1:17">
      <c r="B1019" s="8" t="s">
        <v>246</v>
      </c>
      <c r="C1019" s="8" t="s">
        <v>190</v>
      </c>
      <c r="D1019" s="8">
        <f t="shared" ref="D1019:M1019" si="458">D1002</f>
        <v>0</v>
      </c>
      <c r="E1019" s="8">
        <f t="shared" si="458"/>
        <v>0</v>
      </c>
      <c r="F1019" s="8">
        <f t="shared" si="458"/>
        <v>0</v>
      </c>
      <c r="G1019" s="8">
        <f t="shared" si="458"/>
        <v>0</v>
      </c>
      <c r="H1019" s="8">
        <f t="shared" si="458"/>
        <v>0</v>
      </c>
      <c r="I1019" s="8">
        <f t="shared" si="458"/>
        <v>0</v>
      </c>
      <c r="J1019" s="8">
        <f t="shared" si="458"/>
        <v>0</v>
      </c>
      <c r="K1019" s="8">
        <f t="shared" si="458"/>
        <v>0</v>
      </c>
      <c r="L1019" s="8">
        <f t="shared" si="458"/>
        <v>0</v>
      </c>
      <c r="M1019" s="8">
        <f t="shared" si="458"/>
        <v>0</v>
      </c>
      <c r="N1019" s="8">
        <f t="shared" si="454"/>
        <v>0</v>
      </c>
      <c r="O1019" s="8">
        <f t="shared" si="455"/>
        <v>0</v>
      </c>
      <c r="P1019" s="8">
        <f t="shared" si="456"/>
        <v>0</v>
      </c>
      <c r="Q1019" s="8">
        <f t="shared" si="457"/>
        <v>0</v>
      </c>
    </row>
    <row r="1020" spans="1:17">
      <c r="B1020" s="8" t="s">
        <v>246</v>
      </c>
      <c r="C1020" s="8" t="s">
        <v>192</v>
      </c>
      <c r="D1020" s="8">
        <f t="shared" ref="D1020:M1020" si="459">D1003+D1004</f>
        <v>0</v>
      </c>
      <c r="E1020" s="8">
        <f t="shared" si="459"/>
        <v>0</v>
      </c>
      <c r="F1020" s="8">
        <f t="shared" si="459"/>
        <v>0</v>
      </c>
      <c r="G1020" s="8">
        <f t="shared" si="459"/>
        <v>0</v>
      </c>
      <c r="H1020" s="8">
        <f t="shared" si="459"/>
        <v>0</v>
      </c>
      <c r="I1020" s="8">
        <f t="shared" si="459"/>
        <v>0</v>
      </c>
      <c r="J1020" s="8">
        <f t="shared" si="459"/>
        <v>0</v>
      </c>
      <c r="K1020" s="8">
        <f t="shared" si="459"/>
        <v>0</v>
      </c>
      <c r="L1020" s="8">
        <f t="shared" si="459"/>
        <v>0</v>
      </c>
      <c r="M1020" s="8">
        <f t="shared" si="459"/>
        <v>0</v>
      </c>
      <c r="N1020" s="8">
        <f t="shared" si="454"/>
        <v>0</v>
      </c>
      <c r="O1020" s="8">
        <f t="shared" si="455"/>
        <v>0</v>
      </c>
      <c r="P1020" s="8">
        <f t="shared" si="456"/>
        <v>0</v>
      </c>
      <c r="Q1020" s="8">
        <f t="shared" si="457"/>
        <v>0</v>
      </c>
    </row>
    <row r="1021" spans="1:17">
      <c r="B1021" s="8" t="s">
        <v>246</v>
      </c>
      <c r="C1021" s="8" t="s">
        <v>195</v>
      </c>
      <c r="D1021" s="8">
        <f t="shared" ref="D1021:M1021" si="460">SUM(D1005:D1006)</f>
        <v>0</v>
      </c>
      <c r="E1021" s="8">
        <f t="shared" si="460"/>
        <v>0</v>
      </c>
      <c r="F1021" s="8">
        <f t="shared" si="460"/>
        <v>0</v>
      </c>
      <c r="G1021" s="8">
        <f t="shared" si="460"/>
        <v>0</v>
      </c>
      <c r="H1021" s="8">
        <f t="shared" si="460"/>
        <v>0</v>
      </c>
      <c r="I1021" s="8">
        <f t="shared" si="460"/>
        <v>0</v>
      </c>
      <c r="J1021" s="8">
        <f t="shared" si="460"/>
        <v>0</v>
      </c>
      <c r="K1021" s="8">
        <f t="shared" si="460"/>
        <v>0</v>
      </c>
      <c r="L1021" s="8">
        <f t="shared" si="460"/>
        <v>0</v>
      </c>
      <c r="M1021" s="8">
        <f t="shared" si="460"/>
        <v>0</v>
      </c>
      <c r="N1021" s="8">
        <f t="shared" si="454"/>
        <v>0</v>
      </c>
      <c r="O1021" s="8">
        <f t="shared" si="455"/>
        <v>0</v>
      </c>
      <c r="P1021" s="8">
        <f t="shared" si="456"/>
        <v>0</v>
      </c>
      <c r="Q1021" s="8">
        <f t="shared" si="457"/>
        <v>0</v>
      </c>
    </row>
    <row r="1022" spans="1:17">
      <c r="B1022" s="8" t="s">
        <v>246</v>
      </c>
      <c r="C1022" s="8" t="s">
        <v>198</v>
      </c>
      <c r="D1022" s="8">
        <f t="shared" ref="D1022:M1022" si="461">D1007</f>
        <v>7.59611994635906</v>
      </c>
      <c r="E1022" s="8">
        <f t="shared" si="461"/>
        <v>0</v>
      </c>
      <c r="F1022" s="8">
        <f t="shared" si="461"/>
        <v>0</v>
      </c>
      <c r="G1022" s="8">
        <f t="shared" si="461"/>
        <v>0</v>
      </c>
      <c r="H1022" s="8">
        <f t="shared" si="461"/>
        <v>0</v>
      </c>
      <c r="I1022" s="8">
        <f t="shared" si="461"/>
        <v>0</v>
      </c>
      <c r="J1022" s="8">
        <f t="shared" si="461"/>
        <v>0</v>
      </c>
      <c r="K1022" s="8">
        <f t="shared" si="461"/>
        <v>0</v>
      </c>
      <c r="L1022" s="8">
        <f t="shared" si="461"/>
        <v>0</v>
      </c>
      <c r="M1022" s="8">
        <f t="shared" si="461"/>
        <v>0</v>
      </c>
      <c r="N1022" s="8">
        <f t="shared" si="454"/>
        <v>1.51922398927181</v>
      </c>
      <c r="O1022" s="8">
        <f t="shared" si="455"/>
        <v>0</v>
      </c>
      <c r="P1022" s="8">
        <f t="shared" si="456"/>
        <v>1.33297940069278</v>
      </c>
      <c r="Q1022" s="8">
        <f t="shared" si="457"/>
        <v>0</v>
      </c>
    </row>
    <row r="1023" spans="1:17">
      <c r="B1023" s="8" t="s">
        <v>246</v>
      </c>
      <c r="C1023" s="8" t="s">
        <v>36</v>
      </c>
      <c r="D1023" s="8">
        <f t="shared" ref="D1023:M1023" si="462">D1008</f>
        <v>0</v>
      </c>
      <c r="E1023" s="8">
        <f t="shared" si="462"/>
        <v>0</v>
      </c>
      <c r="F1023" s="8">
        <f t="shared" si="462"/>
        <v>1.49818331833929</v>
      </c>
      <c r="G1023" s="8">
        <f t="shared" si="462"/>
        <v>0</v>
      </c>
      <c r="H1023" s="8">
        <f t="shared" si="462"/>
        <v>0</v>
      </c>
      <c r="I1023" s="8">
        <f t="shared" si="462"/>
        <v>0</v>
      </c>
      <c r="J1023" s="8">
        <f t="shared" si="462"/>
        <v>6.48401334146285</v>
      </c>
      <c r="K1023" s="8">
        <f t="shared" si="462"/>
        <v>0</v>
      </c>
      <c r="L1023" s="8">
        <f t="shared" si="462"/>
        <v>0</v>
      </c>
      <c r="M1023" s="8">
        <f t="shared" si="462"/>
        <v>0</v>
      </c>
      <c r="N1023" s="8">
        <f t="shared" si="454"/>
        <v>0.299636663667858</v>
      </c>
      <c r="O1023" s="8">
        <f t="shared" si="455"/>
        <v>1.29680266829257</v>
      </c>
      <c r="P1023" s="8">
        <f t="shared" si="456"/>
        <v>0.378108348799807</v>
      </c>
      <c r="Q1023" s="8">
        <f t="shared" si="457"/>
        <v>1.19962691169841</v>
      </c>
    </row>
    <row r="1024" spans="1:17">
      <c r="B1024" s="8" t="s">
        <v>246</v>
      </c>
      <c r="C1024" s="8" t="s">
        <v>200</v>
      </c>
      <c r="D1024" s="8">
        <f t="shared" ref="D1024:M1024" si="463">SUM(D1009:D1014)</f>
        <v>0</v>
      </c>
      <c r="E1024" s="8">
        <f t="shared" si="463"/>
        <v>1.96175580415294</v>
      </c>
      <c r="F1024" s="8">
        <f t="shared" si="463"/>
        <v>0</v>
      </c>
      <c r="G1024" s="8">
        <f t="shared" si="463"/>
        <v>0</v>
      </c>
      <c r="H1024" s="8">
        <f t="shared" si="463"/>
        <v>0</v>
      </c>
      <c r="I1024" s="8">
        <f t="shared" si="463"/>
        <v>0</v>
      </c>
      <c r="J1024" s="8">
        <f t="shared" si="463"/>
        <v>7.28670721473025</v>
      </c>
      <c r="K1024" s="8">
        <f t="shared" si="463"/>
        <v>10.1974504853151</v>
      </c>
      <c r="L1024" s="8">
        <f t="shared" si="463"/>
        <v>18.8473248957535</v>
      </c>
      <c r="M1024" s="8">
        <f t="shared" si="463"/>
        <v>0</v>
      </c>
      <c r="N1024" s="8">
        <f t="shared" si="454"/>
        <v>0.392351160830588</v>
      </c>
      <c r="O1024" s="8">
        <f t="shared" si="455"/>
        <v>7.26629651915975</v>
      </c>
      <c r="P1024" s="8">
        <f t="shared" si="456"/>
        <v>0.477523114992064</v>
      </c>
      <c r="Q1024" s="8">
        <f t="shared" si="457"/>
        <v>3.04724111535154</v>
      </c>
    </row>
    <row r="1025" spans="1:17">
      <c r="B1025" s="8" t="s">
        <v>246</v>
      </c>
      <c r="C1025" s="8" t="s">
        <v>201</v>
      </c>
      <c r="D1025" s="8">
        <f t="shared" ref="D1025:M1025" si="464">D1015</f>
        <v>0</v>
      </c>
      <c r="E1025" s="8">
        <f t="shared" si="464"/>
        <v>4.81277296758869</v>
      </c>
      <c r="F1025" s="8">
        <f t="shared" si="464"/>
        <v>0</v>
      </c>
      <c r="G1025" s="8">
        <f t="shared" si="464"/>
        <v>0</v>
      </c>
      <c r="H1025" s="8">
        <f t="shared" si="464"/>
        <v>0</v>
      </c>
      <c r="I1025" s="8">
        <f t="shared" si="464"/>
        <v>0</v>
      </c>
      <c r="J1025" s="8">
        <f t="shared" si="464"/>
        <v>0</v>
      </c>
      <c r="K1025" s="8">
        <f t="shared" si="464"/>
        <v>0</v>
      </c>
      <c r="L1025" s="8">
        <f t="shared" si="464"/>
        <v>2.95790326214704</v>
      </c>
      <c r="M1025" s="8">
        <f t="shared" si="464"/>
        <v>0</v>
      </c>
      <c r="N1025" s="8">
        <f t="shared" si="454"/>
        <v>0.962554593517738</v>
      </c>
      <c r="O1025" s="8">
        <f t="shared" si="455"/>
        <v>0.591580652429407</v>
      </c>
      <c r="P1025" s="8">
        <f t="shared" si="456"/>
        <v>0.972732786845953</v>
      </c>
      <c r="Q1025" s="8">
        <f t="shared" si="457"/>
        <v>0.670460266563362</v>
      </c>
    </row>
    <row r="1028" spans="1:17">
      <c r="A1028" s="8" t="s">
        <v>247</v>
      </c>
      <c r="B1028" s="8" t="s">
        <v>188</v>
      </c>
      <c r="C1028" s="8" t="s">
        <v>189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</row>
    <row r="1029" spans="1:17">
      <c r="A1029" s="8" t="s">
        <v>247</v>
      </c>
      <c r="B1029" s="8" t="s">
        <v>190</v>
      </c>
      <c r="C1029" s="8" t="s">
        <v>191</v>
      </c>
      <c r="D1029" s="8">
        <v>0</v>
      </c>
      <c r="E1029" s="8">
        <v>4.17684282087847</v>
      </c>
      <c r="F1029" s="8">
        <v>0</v>
      </c>
      <c r="G1029" s="8">
        <v>5.87129013360813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</row>
    <row r="1030" spans="1:17">
      <c r="A1030" s="8" t="s">
        <v>247</v>
      </c>
      <c r="B1030" s="8" t="s">
        <v>192</v>
      </c>
      <c r="C1030" s="8" t="s">
        <v>193</v>
      </c>
      <c r="D1030" s="8">
        <v>0</v>
      </c>
      <c r="E1030" s="8">
        <v>0</v>
      </c>
      <c r="F1030" s="8">
        <v>0</v>
      </c>
      <c r="G1030" s="8">
        <v>10.049654681896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</row>
    <row r="1031" spans="1:17">
      <c r="A1031" s="8" t="s">
        <v>247</v>
      </c>
      <c r="B1031" s="8" t="s">
        <v>192</v>
      </c>
      <c r="C1031" s="8" t="s">
        <v>194</v>
      </c>
      <c r="D1031" s="8">
        <v>0</v>
      </c>
      <c r="E1031" s="8">
        <v>0</v>
      </c>
      <c r="F1031" s="8">
        <v>0</v>
      </c>
      <c r="G1031" s="8">
        <v>5.13563452201355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</row>
    <row r="1032" spans="1:17">
      <c r="A1032" s="8" t="s">
        <v>247</v>
      </c>
      <c r="B1032" s="8" t="s">
        <v>195</v>
      </c>
      <c r="C1032" s="8" t="s">
        <v>196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</row>
    <row r="1033" spans="1:17">
      <c r="A1033" s="8" t="s">
        <v>247</v>
      </c>
      <c r="B1033" s="8" t="s">
        <v>195</v>
      </c>
      <c r="C1033" s="8" t="s">
        <v>197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</row>
    <row r="1034" spans="1:17">
      <c r="A1034" s="8" t="s">
        <v>247</v>
      </c>
      <c r="B1034" s="8" t="s">
        <v>198</v>
      </c>
      <c r="C1034" s="8" t="s">
        <v>199</v>
      </c>
      <c r="D1034" s="8">
        <v>11.1784584114946</v>
      </c>
      <c r="E1034" s="8">
        <v>0</v>
      </c>
      <c r="F1034" s="8">
        <v>16.8174085528421</v>
      </c>
      <c r="G1034" s="8">
        <v>0</v>
      </c>
      <c r="H1034" s="8">
        <v>0</v>
      </c>
      <c r="I1034" s="8">
        <v>1.32135624643468</v>
      </c>
      <c r="J1034" s="8">
        <v>0</v>
      </c>
      <c r="K1034" s="8">
        <v>0</v>
      </c>
      <c r="L1034" s="8">
        <v>0</v>
      </c>
      <c r="M1034" s="8">
        <v>0</v>
      </c>
    </row>
    <row r="1035" spans="1:17">
      <c r="A1035" s="8" t="s">
        <v>247</v>
      </c>
      <c r="B1035" s="8" t="s">
        <v>36</v>
      </c>
      <c r="C1035" s="8" t="s">
        <v>130</v>
      </c>
      <c r="D1035" s="8">
        <v>0</v>
      </c>
      <c r="E1035" s="8">
        <v>0</v>
      </c>
      <c r="F1035" s="8">
        <v>6.05790142000995</v>
      </c>
      <c r="G1035" s="8">
        <v>0</v>
      </c>
      <c r="H1035" s="8">
        <v>0</v>
      </c>
      <c r="I1035" s="8">
        <v>0</v>
      </c>
      <c r="J1035" s="8">
        <v>55.1599903248622</v>
      </c>
      <c r="K1035" s="8">
        <v>0</v>
      </c>
      <c r="L1035" s="8">
        <v>0</v>
      </c>
      <c r="M1035" s="8">
        <v>3.67059744339161</v>
      </c>
    </row>
    <row r="1036" spans="1:17">
      <c r="A1036" s="8" t="s">
        <v>247</v>
      </c>
      <c r="B1036" s="8" t="s">
        <v>200</v>
      </c>
      <c r="C1036" s="8" t="s">
        <v>97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6.12283239773698</v>
      </c>
      <c r="L1036" s="8">
        <v>0</v>
      </c>
      <c r="M1036" s="8">
        <v>0</v>
      </c>
    </row>
    <row r="1037" spans="1:17">
      <c r="A1037" s="8" t="s">
        <v>247</v>
      </c>
      <c r="B1037" s="8" t="s">
        <v>200</v>
      </c>
      <c r="C1037" s="8" t="s">
        <v>98</v>
      </c>
      <c r="D1037" s="8">
        <v>0</v>
      </c>
      <c r="E1037" s="8">
        <v>21.7126335895997</v>
      </c>
      <c r="F1037" s="8">
        <v>0</v>
      </c>
      <c r="G1037" s="8">
        <v>3.24128069537557</v>
      </c>
      <c r="H1037" s="8">
        <v>0</v>
      </c>
      <c r="I1037" s="8">
        <v>0</v>
      </c>
      <c r="J1037" s="8">
        <v>21.0778607388355</v>
      </c>
      <c r="K1037" s="8">
        <v>0</v>
      </c>
      <c r="L1037" s="8">
        <v>1.62124326987495</v>
      </c>
      <c r="M1037" s="8">
        <v>0.693194207842061</v>
      </c>
    </row>
    <row r="1038" spans="1:17">
      <c r="A1038" s="8" t="s">
        <v>247</v>
      </c>
      <c r="B1038" s="8" t="s">
        <v>200</v>
      </c>
      <c r="C1038" s="8" t="s">
        <v>95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5.164893364921</v>
      </c>
      <c r="L1038" s="8">
        <v>0</v>
      </c>
      <c r="M1038" s="8">
        <v>0</v>
      </c>
    </row>
    <row r="1039" spans="1:17">
      <c r="A1039" s="8" t="s">
        <v>247</v>
      </c>
      <c r="B1039" s="8" t="s">
        <v>200</v>
      </c>
      <c r="C1039" s="8" t="s">
        <v>93</v>
      </c>
      <c r="D1039" s="8">
        <v>0</v>
      </c>
      <c r="E1039" s="8">
        <v>0</v>
      </c>
      <c r="F1039" s="8">
        <v>0</v>
      </c>
      <c r="G1039" s="8">
        <v>6.74408115300849</v>
      </c>
      <c r="H1039" s="8">
        <v>0</v>
      </c>
      <c r="I1039" s="8">
        <v>0</v>
      </c>
      <c r="J1039" s="8">
        <v>0</v>
      </c>
      <c r="K1039" s="8">
        <v>1.73289070965986</v>
      </c>
      <c r="L1039" s="8">
        <v>0.314518147838945</v>
      </c>
      <c r="M1039" s="8">
        <v>1.48446491158052</v>
      </c>
    </row>
    <row r="1040" spans="1:17">
      <c r="A1040" s="8" t="s">
        <v>247</v>
      </c>
      <c r="B1040" s="8" t="s">
        <v>200</v>
      </c>
      <c r="C1040" s="8" t="s">
        <v>96</v>
      </c>
      <c r="D1040" s="8">
        <v>0</v>
      </c>
      <c r="E1040" s="8">
        <v>1.26703308891491</v>
      </c>
      <c r="F1040" s="8">
        <v>0</v>
      </c>
      <c r="G1040" s="8">
        <v>0.373042266626788</v>
      </c>
      <c r="H1040" s="8">
        <v>0</v>
      </c>
      <c r="I1040" s="8">
        <v>0</v>
      </c>
      <c r="J1040" s="8">
        <v>0</v>
      </c>
      <c r="K1040" s="8">
        <v>13.4822917695067</v>
      </c>
      <c r="L1040" s="8">
        <v>1.57920603364711</v>
      </c>
      <c r="M1040" s="8">
        <v>0</v>
      </c>
    </row>
    <row r="1041" spans="1:17">
      <c r="A1041" s="8" t="s">
        <v>247</v>
      </c>
      <c r="B1041" s="8" t="s">
        <v>200</v>
      </c>
      <c r="C1041" s="8" t="s">
        <v>94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4.03359890247604</v>
      </c>
      <c r="L1041" s="8">
        <v>4.75868667947003</v>
      </c>
      <c r="M1041" s="8">
        <v>0</v>
      </c>
    </row>
    <row r="1042" spans="1:17">
      <c r="A1042" s="8" t="s">
        <v>247</v>
      </c>
      <c r="B1042" s="8" t="s">
        <v>201</v>
      </c>
      <c r="C1042" s="8" t="s">
        <v>202</v>
      </c>
      <c r="D1042" s="8">
        <v>0</v>
      </c>
      <c r="E1042" s="8">
        <v>0</v>
      </c>
      <c r="F1042" s="8">
        <v>0</v>
      </c>
      <c r="G1042" s="8">
        <v>27.0559279931195</v>
      </c>
      <c r="H1042" s="8">
        <v>0</v>
      </c>
      <c r="I1042" s="8">
        <v>0</v>
      </c>
      <c r="J1042" s="8">
        <v>0</v>
      </c>
      <c r="K1042" s="8">
        <v>72.3012935064016</v>
      </c>
      <c r="L1042" s="8">
        <v>14.0808263919997</v>
      </c>
      <c r="M1042" s="8">
        <v>57.149545487243</v>
      </c>
    </row>
    <row r="1044" spans="1:17">
      <c r="N1044" s="11" t="s">
        <v>203</v>
      </c>
      <c r="O1044" s="11" t="s">
        <v>203</v>
      </c>
      <c r="P1044" s="11" t="s">
        <v>204</v>
      </c>
      <c r="Q1044" s="11" t="s">
        <v>204</v>
      </c>
    </row>
    <row r="1045" spans="1:17">
      <c r="B1045" s="8" t="s">
        <v>247</v>
      </c>
      <c r="C1045" s="8" t="s">
        <v>188</v>
      </c>
      <c r="D1045" s="8">
        <f t="shared" ref="D1045:M1045" si="465">D1028</f>
        <v>0</v>
      </c>
      <c r="E1045" s="8">
        <f t="shared" si="465"/>
        <v>0</v>
      </c>
      <c r="F1045" s="8">
        <f t="shared" si="465"/>
        <v>0</v>
      </c>
      <c r="G1045" s="8">
        <f t="shared" si="465"/>
        <v>0</v>
      </c>
      <c r="H1045" s="8">
        <f t="shared" si="465"/>
        <v>0</v>
      </c>
      <c r="I1045" s="8">
        <f t="shared" si="465"/>
        <v>0</v>
      </c>
      <c r="J1045" s="8">
        <f t="shared" si="465"/>
        <v>0</v>
      </c>
      <c r="K1045" s="8">
        <f t="shared" si="465"/>
        <v>0</v>
      </c>
      <c r="L1045" s="8">
        <f t="shared" si="465"/>
        <v>0</v>
      </c>
      <c r="M1045" s="8">
        <f t="shared" si="465"/>
        <v>0</v>
      </c>
      <c r="N1045" s="8">
        <f t="shared" ref="N1045:N1052" si="466">AVERAGE(D1045:H1045)</f>
        <v>0</v>
      </c>
      <c r="O1045" s="8">
        <f t="shared" ref="O1045:O1052" si="467">AVERAGE(I1045:M1045)</f>
        <v>0</v>
      </c>
      <c r="P1045" s="8">
        <f t="shared" ref="P1045:P1052" si="468">LOG(N1045+1,2)</f>
        <v>0</v>
      </c>
      <c r="Q1045" s="8">
        <f t="shared" ref="Q1045:Q1052" si="469">LOG(O1045+1,2)</f>
        <v>0</v>
      </c>
    </row>
    <row r="1046" spans="1:17">
      <c r="B1046" s="8" t="s">
        <v>247</v>
      </c>
      <c r="C1046" s="8" t="s">
        <v>190</v>
      </c>
      <c r="D1046" s="8">
        <f t="shared" ref="D1046:M1046" si="470">D1029</f>
        <v>0</v>
      </c>
      <c r="E1046" s="8">
        <f t="shared" si="470"/>
        <v>4.17684282087847</v>
      </c>
      <c r="F1046" s="8">
        <f t="shared" si="470"/>
        <v>0</v>
      </c>
      <c r="G1046" s="8">
        <f t="shared" si="470"/>
        <v>5.87129013360813</v>
      </c>
      <c r="H1046" s="8">
        <f t="shared" si="470"/>
        <v>0</v>
      </c>
      <c r="I1046" s="8">
        <f t="shared" si="470"/>
        <v>0</v>
      </c>
      <c r="J1046" s="8">
        <f t="shared" si="470"/>
        <v>0</v>
      </c>
      <c r="K1046" s="8">
        <f t="shared" si="470"/>
        <v>0</v>
      </c>
      <c r="L1046" s="8">
        <f t="shared" si="470"/>
        <v>0</v>
      </c>
      <c r="M1046" s="8">
        <f t="shared" si="470"/>
        <v>0</v>
      </c>
      <c r="N1046" s="8">
        <f t="shared" si="466"/>
        <v>2.00962659089732</v>
      </c>
      <c r="O1046" s="8">
        <f t="shared" si="467"/>
        <v>0</v>
      </c>
      <c r="P1046" s="8">
        <f t="shared" si="468"/>
        <v>1.58958450064647</v>
      </c>
      <c r="Q1046" s="8">
        <f t="shared" si="469"/>
        <v>0</v>
      </c>
    </row>
    <row r="1047" spans="1:17">
      <c r="B1047" s="8" t="s">
        <v>247</v>
      </c>
      <c r="C1047" s="8" t="s">
        <v>192</v>
      </c>
      <c r="D1047" s="8">
        <f t="shared" ref="D1047:M1047" si="471">D1030+D1031</f>
        <v>0</v>
      </c>
      <c r="E1047" s="8">
        <f t="shared" si="471"/>
        <v>0</v>
      </c>
      <c r="F1047" s="8">
        <f t="shared" si="471"/>
        <v>0</v>
      </c>
      <c r="G1047" s="8">
        <f t="shared" si="471"/>
        <v>15.1852892039096</v>
      </c>
      <c r="H1047" s="8">
        <f t="shared" si="471"/>
        <v>0</v>
      </c>
      <c r="I1047" s="8">
        <f t="shared" si="471"/>
        <v>0</v>
      </c>
      <c r="J1047" s="8">
        <f t="shared" si="471"/>
        <v>0</v>
      </c>
      <c r="K1047" s="8">
        <f t="shared" si="471"/>
        <v>0</v>
      </c>
      <c r="L1047" s="8">
        <f t="shared" si="471"/>
        <v>0</v>
      </c>
      <c r="M1047" s="8">
        <f t="shared" si="471"/>
        <v>0</v>
      </c>
      <c r="N1047" s="8">
        <f t="shared" si="466"/>
        <v>3.03705784078192</v>
      </c>
      <c r="O1047" s="8">
        <f t="shared" si="467"/>
        <v>0</v>
      </c>
      <c r="P1047" s="8">
        <f t="shared" si="468"/>
        <v>2.01330425712098</v>
      </c>
      <c r="Q1047" s="8">
        <f t="shared" si="469"/>
        <v>0</v>
      </c>
    </row>
    <row r="1048" spans="1:17">
      <c r="B1048" s="8" t="s">
        <v>247</v>
      </c>
      <c r="C1048" s="8" t="s">
        <v>195</v>
      </c>
      <c r="D1048" s="8">
        <f t="shared" ref="D1048:M1048" si="472">SUM(D1032:D1033)</f>
        <v>0</v>
      </c>
      <c r="E1048" s="8">
        <f t="shared" si="472"/>
        <v>0</v>
      </c>
      <c r="F1048" s="8">
        <f t="shared" si="472"/>
        <v>0</v>
      </c>
      <c r="G1048" s="8">
        <f t="shared" si="472"/>
        <v>0</v>
      </c>
      <c r="H1048" s="8">
        <f t="shared" si="472"/>
        <v>0</v>
      </c>
      <c r="I1048" s="8">
        <f t="shared" si="472"/>
        <v>0</v>
      </c>
      <c r="J1048" s="8">
        <f t="shared" si="472"/>
        <v>0</v>
      </c>
      <c r="K1048" s="8">
        <f t="shared" si="472"/>
        <v>0</v>
      </c>
      <c r="L1048" s="8">
        <f t="shared" si="472"/>
        <v>0</v>
      </c>
      <c r="M1048" s="8">
        <f t="shared" si="472"/>
        <v>0</v>
      </c>
      <c r="N1048" s="8">
        <f t="shared" si="466"/>
        <v>0</v>
      </c>
      <c r="O1048" s="8">
        <f t="shared" si="467"/>
        <v>0</v>
      </c>
      <c r="P1048" s="8">
        <f t="shared" si="468"/>
        <v>0</v>
      </c>
      <c r="Q1048" s="8">
        <f t="shared" si="469"/>
        <v>0</v>
      </c>
    </row>
    <row r="1049" spans="1:17">
      <c r="B1049" s="8" t="s">
        <v>247</v>
      </c>
      <c r="C1049" s="8" t="s">
        <v>198</v>
      </c>
      <c r="D1049" s="8">
        <f t="shared" ref="D1049:M1049" si="473">D1034</f>
        <v>11.1784584114946</v>
      </c>
      <c r="E1049" s="8">
        <f t="shared" si="473"/>
        <v>0</v>
      </c>
      <c r="F1049" s="8">
        <f t="shared" si="473"/>
        <v>16.8174085528421</v>
      </c>
      <c r="G1049" s="8">
        <f t="shared" si="473"/>
        <v>0</v>
      </c>
      <c r="H1049" s="8">
        <f t="shared" si="473"/>
        <v>0</v>
      </c>
      <c r="I1049" s="8">
        <f t="shared" si="473"/>
        <v>1.32135624643468</v>
      </c>
      <c r="J1049" s="8">
        <f t="shared" si="473"/>
        <v>0</v>
      </c>
      <c r="K1049" s="8">
        <f t="shared" si="473"/>
        <v>0</v>
      </c>
      <c r="L1049" s="8">
        <f t="shared" si="473"/>
        <v>0</v>
      </c>
      <c r="M1049" s="8">
        <f t="shared" si="473"/>
        <v>0</v>
      </c>
      <c r="N1049" s="8">
        <f t="shared" si="466"/>
        <v>5.59917339286734</v>
      </c>
      <c r="O1049" s="8">
        <f t="shared" si="467"/>
        <v>0.264271249286937</v>
      </c>
      <c r="P1049" s="8">
        <f t="shared" si="468"/>
        <v>2.72228532497164</v>
      </c>
      <c r="Q1049" s="8">
        <f t="shared" si="469"/>
        <v>0.338306026820551</v>
      </c>
    </row>
    <row r="1050" spans="1:17">
      <c r="B1050" s="8" t="s">
        <v>247</v>
      </c>
      <c r="C1050" s="8" t="s">
        <v>36</v>
      </c>
      <c r="D1050" s="8">
        <f t="shared" ref="D1050:M1050" si="474">D1035</f>
        <v>0</v>
      </c>
      <c r="E1050" s="8">
        <f t="shared" si="474"/>
        <v>0</v>
      </c>
      <c r="F1050" s="8">
        <f t="shared" si="474"/>
        <v>6.05790142000995</v>
      </c>
      <c r="G1050" s="8">
        <f t="shared" si="474"/>
        <v>0</v>
      </c>
      <c r="H1050" s="8">
        <f t="shared" si="474"/>
        <v>0</v>
      </c>
      <c r="I1050" s="8">
        <f t="shared" si="474"/>
        <v>0</v>
      </c>
      <c r="J1050" s="8">
        <f t="shared" si="474"/>
        <v>55.1599903248622</v>
      </c>
      <c r="K1050" s="8">
        <f t="shared" si="474"/>
        <v>0</v>
      </c>
      <c r="L1050" s="8">
        <f t="shared" si="474"/>
        <v>0</v>
      </c>
      <c r="M1050" s="8">
        <f t="shared" si="474"/>
        <v>3.67059744339161</v>
      </c>
      <c r="N1050" s="8">
        <f t="shared" si="466"/>
        <v>1.21158028400199</v>
      </c>
      <c r="O1050" s="8">
        <f t="shared" si="467"/>
        <v>11.7661175536508</v>
      </c>
      <c r="P1050" s="8">
        <f t="shared" si="468"/>
        <v>1.14507761539016</v>
      </c>
      <c r="Q1050" s="8">
        <f t="shared" si="469"/>
        <v>3.67424793255699</v>
      </c>
    </row>
    <row r="1051" spans="1:17">
      <c r="B1051" s="8" t="s">
        <v>247</v>
      </c>
      <c r="C1051" s="8" t="s">
        <v>200</v>
      </c>
      <c r="D1051" s="8">
        <f t="shared" ref="D1051:M1051" si="475">SUM(D1036:D1041)</f>
        <v>0</v>
      </c>
      <c r="E1051" s="8">
        <f t="shared" si="475"/>
        <v>22.9796666785146</v>
      </c>
      <c r="F1051" s="8">
        <f t="shared" si="475"/>
        <v>0</v>
      </c>
      <c r="G1051" s="8">
        <f t="shared" si="475"/>
        <v>10.3584041150109</v>
      </c>
      <c r="H1051" s="8">
        <f t="shared" si="475"/>
        <v>0</v>
      </c>
      <c r="I1051" s="8">
        <f t="shared" si="475"/>
        <v>0</v>
      </c>
      <c r="J1051" s="8">
        <f t="shared" si="475"/>
        <v>21.0778607388355</v>
      </c>
      <c r="K1051" s="8">
        <f t="shared" si="475"/>
        <v>30.5365071443006</v>
      </c>
      <c r="L1051" s="8">
        <f t="shared" si="475"/>
        <v>8.27365413083104</v>
      </c>
      <c r="M1051" s="8">
        <f t="shared" si="475"/>
        <v>2.17765911942258</v>
      </c>
      <c r="N1051" s="8">
        <f t="shared" si="466"/>
        <v>6.66761415870509</v>
      </c>
      <c r="O1051" s="8">
        <f t="shared" si="467"/>
        <v>12.4131362266779</v>
      </c>
      <c r="P1051" s="8">
        <f t="shared" si="468"/>
        <v>2.93877774111038</v>
      </c>
      <c r="Q1051" s="8">
        <f t="shared" si="469"/>
        <v>3.74557469899526</v>
      </c>
    </row>
    <row r="1052" spans="1:17">
      <c r="B1052" s="8" t="s">
        <v>247</v>
      </c>
      <c r="C1052" s="8" t="s">
        <v>201</v>
      </c>
      <c r="D1052" s="8">
        <f t="shared" ref="D1052:M1052" si="476">D1042</f>
        <v>0</v>
      </c>
      <c r="E1052" s="8">
        <f t="shared" si="476"/>
        <v>0</v>
      </c>
      <c r="F1052" s="8">
        <f t="shared" si="476"/>
        <v>0</v>
      </c>
      <c r="G1052" s="8">
        <f t="shared" si="476"/>
        <v>27.0559279931195</v>
      </c>
      <c r="H1052" s="8">
        <f t="shared" si="476"/>
        <v>0</v>
      </c>
      <c r="I1052" s="8">
        <f t="shared" si="476"/>
        <v>0</v>
      </c>
      <c r="J1052" s="8">
        <f t="shared" si="476"/>
        <v>0</v>
      </c>
      <c r="K1052" s="8">
        <f t="shared" si="476"/>
        <v>72.3012935064016</v>
      </c>
      <c r="L1052" s="8">
        <f t="shared" si="476"/>
        <v>14.0808263919997</v>
      </c>
      <c r="M1052" s="8">
        <f t="shared" si="476"/>
        <v>57.149545487243</v>
      </c>
      <c r="N1052" s="8">
        <f t="shared" si="466"/>
        <v>5.4111855986239</v>
      </c>
      <c r="O1052" s="8">
        <f t="shared" si="467"/>
        <v>28.7063330771289</v>
      </c>
      <c r="P1052" s="8">
        <f t="shared" si="468"/>
        <v>2.68059117417489</v>
      </c>
      <c r="Q1052" s="8">
        <f t="shared" si="469"/>
        <v>4.89269862608088</v>
      </c>
    </row>
  </sheetData>
  <mergeCells count="7">
    <mergeCell ref="A1:M1"/>
    <mergeCell ref="D2:H2"/>
    <mergeCell ref="I2:M2"/>
    <mergeCell ref="A356:M356"/>
    <mergeCell ref="A521:M521"/>
    <mergeCell ref="A719:M719"/>
    <mergeCell ref="A945:M94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55"/>
  <sheetViews>
    <sheetView workbookViewId="0">
      <selection activeCell="N3" sqref="N3"/>
    </sheetView>
  </sheetViews>
  <sheetFormatPr defaultColWidth="8.75454545454545" defaultRowHeight="14"/>
  <cols>
    <col min="1" max="3" width="8.75454545454545" style="1"/>
    <col min="4" max="17" width="12.8727272727273" style="1"/>
    <col min="18" max="18" width="8.75454545454545" style="1"/>
  </cols>
  <sheetData>
    <row r="1" spans="1:17">
      <c r="A1" s="13" t="s">
        <v>184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1"/>
      <c r="O1" s="11"/>
      <c r="P1" s="11"/>
      <c r="Q1" s="11"/>
    </row>
    <row r="2" spans="1:17">
      <c r="A2" s="11"/>
      <c r="B2" s="11"/>
      <c r="C2" s="11"/>
      <c r="D2" s="2" t="s">
        <v>185</v>
      </c>
      <c r="E2" s="3"/>
      <c r="F2" s="3"/>
      <c r="G2" s="3"/>
      <c r="H2" s="4"/>
      <c r="I2" s="5" t="s">
        <v>186</v>
      </c>
      <c r="J2" s="6"/>
      <c r="K2" s="6"/>
      <c r="L2" s="6"/>
      <c r="M2" s="7"/>
      <c r="N2" s="11"/>
      <c r="O2" s="11"/>
      <c r="P2" s="11"/>
      <c r="Q2" s="11"/>
    </row>
    <row r="3" spans="1:17">
      <c r="A3" s="8" t="s">
        <v>187</v>
      </c>
      <c r="B3" s="14" t="s">
        <v>188</v>
      </c>
      <c r="C3" s="8" t="s">
        <v>189</v>
      </c>
      <c r="D3" s="8"/>
      <c r="E3" s="8"/>
      <c r="F3" s="8"/>
      <c r="G3" s="8"/>
      <c r="H3" s="8"/>
      <c r="I3" s="8"/>
      <c r="J3" s="8"/>
      <c r="K3" s="8"/>
      <c r="L3" s="8"/>
      <c r="M3" s="8"/>
      <c r="N3" s="11"/>
      <c r="O3" s="11"/>
      <c r="P3" s="11"/>
      <c r="Q3" s="11"/>
    </row>
    <row r="4" spans="1:17">
      <c r="A4" s="8" t="s">
        <v>187</v>
      </c>
      <c r="B4" s="14" t="s">
        <v>190</v>
      </c>
      <c r="C4" s="8" t="s">
        <v>191</v>
      </c>
      <c r="D4" s="8">
        <v>392.091347891575</v>
      </c>
      <c r="E4" s="8">
        <v>0</v>
      </c>
      <c r="F4" s="8">
        <v>0</v>
      </c>
      <c r="G4" s="8">
        <v>23.8864680759042</v>
      </c>
      <c r="H4" s="8">
        <v>0</v>
      </c>
      <c r="I4" s="8">
        <v>0</v>
      </c>
      <c r="J4" s="8">
        <v>0</v>
      </c>
      <c r="K4" s="8">
        <v>0</v>
      </c>
      <c r="L4" s="8">
        <v>3.46226294399437</v>
      </c>
      <c r="M4" s="8">
        <v>2.09795963381291</v>
      </c>
      <c r="N4" s="11"/>
      <c r="O4" s="11"/>
      <c r="P4" s="11"/>
      <c r="Q4" s="11"/>
    </row>
    <row r="5" spans="1:17">
      <c r="A5" s="8" t="s">
        <v>187</v>
      </c>
      <c r="B5" s="14" t="s">
        <v>192</v>
      </c>
      <c r="C5" s="8" t="s">
        <v>193</v>
      </c>
      <c r="D5" s="8">
        <v>0</v>
      </c>
      <c r="E5" s="8">
        <v>9.97843607440938</v>
      </c>
      <c r="F5" s="8">
        <v>0</v>
      </c>
      <c r="G5" s="8">
        <v>42.0071245332859</v>
      </c>
      <c r="H5" s="8">
        <v>0</v>
      </c>
      <c r="I5" s="8">
        <v>0</v>
      </c>
      <c r="J5" s="8">
        <v>0</v>
      </c>
      <c r="K5" s="8">
        <v>0</v>
      </c>
      <c r="L5" s="8">
        <v>1.3948966373401</v>
      </c>
      <c r="M5" s="8">
        <v>0</v>
      </c>
      <c r="N5" s="11"/>
      <c r="O5" s="11"/>
      <c r="P5" s="11"/>
      <c r="Q5" s="11"/>
    </row>
    <row r="6" spans="1:17">
      <c r="A6" s="8" t="s">
        <v>187</v>
      </c>
      <c r="B6" s="14" t="s">
        <v>192</v>
      </c>
      <c r="C6" s="8" t="s">
        <v>194</v>
      </c>
      <c r="D6" s="8">
        <v>0</v>
      </c>
      <c r="E6" s="8">
        <v>6.65228987753603</v>
      </c>
      <c r="F6" s="8">
        <v>0</v>
      </c>
      <c r="G6" s="8">
        <v>38.5530932609891</v>
      </c>
      <c r="H6" s="8">
        <v>0</v>
      </c>
      <c r="I6" s="8">
        <v>0</v>
      </c>
      <c r="J6" s="8">
        <v>0</v>
      </c>
      <c r="K6" s="8">
        <v>0</v>
      </c>
      <c r="L6" s="8">
        <v>0.946569848362757</v>
      </c>
      <c r="M6" s="8">
        <v>0</v>
      </c>
      <c r="N6" s="11"/>
      <c r="O6" s="11"/>
      <c r="P6" s="11"/>
      <c r="Q6" s="11"/>
    </row>
    <row r="7" spans="1:17">
      <c r="A7" s="8" t="s">
        <v>187</v>
      </c>
      <c r="B7" s="14" t="s">
        <v>195</v>
      </c>
      <c r="C7" s="8" t="s">
        <v>196</v>
      </c>
      <c r="D7" s="8">
        <v>0</v>
      </c>
      <c r="E7" s="8">
        <v>0</v>
      </c>
      <c r="F7" s="8">
        <v>0</v>
      </c>
      <c r="G7" s="8">
        <v>24.1342871763535</v>
      </c>
      <c r="H7" s="8">
        <v>0</v>
      </c>
      <c r="I7" s="8">
        <v>0</v>
      </c>
      <c r="J7" s="8">
        <v>0</v>
      </c>
      <c r="K7" s="8">
        <v>0</v>
      </c>
      <c r="L7" s="8">
        <v>4.92140305993714</v>
      </c>
      <c r="M7" s="8">
        <v>5.09798583995038</v>
      </c>
      <c r="N7" s="11"/>
      <c r="O7" s="11"/>
      <c r="P7" s="11"/>
      <c r="Q7" s="11"/>
    </row>
    <row r="8" spans="1:17">
      <c r="A8" s="8" t="s">
        <v>187</v>
      </c>
      <c r="B8" s="14" t="s">
        <v>195</v>
      </c>
      <c r="C8" s="8" t="s">
        <v>197</v>
      </c>
      <c r="D8" s="8"/>
      <c r="E8" s="8"/>
      <c r="F8" s="8"/>
      <c r="G8" s="8"/>
      <c r="H8" s="8"/>
      <c r="I8" s="8"/>
      <c r="J8" s="8"/>
      <c r="K8" s="8"/>
      <c r="L8" s="8"/>
      <c r="M8" s="8"/>
      <c r="N8" s="11"/>
      <c r="O8" s="11"/>
      <c r="P8" s="11"/>
      <c r="Q8" s="11"/>
    </row>
    <row r="9" spans="1:17">
      <c r="A9" s="8" t="s">
        <v>187</v>
      </c>
      <c r="B9" s="14" t="s">
        <v>198</v>
      </c>
      <c r="C9" s="8" t="s">
        <v>199</v>
      </c>
      <c r="D9" s="8"/>
      <c r="E9" s="8"/>
      <c r="F9" s="8"/>
      <c r="G9" s="8"/>
      <c r="H9" s="8"/>
      <c r="I9" s="8"/>
      <c r="J9" s="8"/>
      <c r="K9" s="8"/>
      <c r="L9" s="8"/>
      <c r="M9" s="8"/>
      <c r="N9" s="11"/>
      <c r="O9" s="11"/>
      <c r="P9" s="11"/>
      <c r="Q9" s="11"/>
    </row>
    <row r="10" spans="1:17">
      <c r="A10" s="8" t="s">
        <v>187</v>
      </c>
      <c r="B10" s="14" t="s">
        <v>36</v>
      </c>
      <c r="C10" s="8" t="s">
        <v>130</v>
      </c>
      <c r="D10" s="8">
        <v>0</v>
      </c>
      <c r="E10" s="8">
        <v>0</v>
      </c>
      <c r="F10" s="8">
        <v>0</v>
      </c>
      <c r="G10" s="8">
        <v>0.661451338489484</v>
      </c>
      <c r="H10" s="8">
        <v>0</v>
      </c>
      <c r="I10" s="8">
        <v>0</v>
      </c>
      <c r="J10" s="8">
        <v>242.632823744842</v>
      </c>
      <c r="K10" s="8">
        <v>0</v>
      </c>
      <c r="L10" s="8">
        <v>0</v>
      </c>
      <c r="M10" s="8">
        <v>13.3194635567506</v>
      </c>
      <c r="N10" s="11"/>
      <c r="O10" s="11"/>
      <c r="P10" s="11"/>
      <c r="Q10" s="11"/>
    </row>
    <row r="11" spans="1:17">
      <c r="A11" s="8" t="s">
        <v>187</v>
      </c>
      <c r="B11" s="14" t="s">
        <v>200</v>
      </c>
      <c r="C11" s="8" t="s">
        <v>97</v>
      </c>
      <c r="D11" s="8">
        <v>0</v>
      </c>
      <c r="E11" s="8">
        <v>0</v>
      </c>
      <c r="F11" s="8">
        <v>0</v>
      </c>
      <c r="G11" s="8">
        <v>3.46618312186474</v>
      </c>
      <c r="H11" s="8">
        <v>0</v>
      </c>
      <c r="I11" s="8">
        <v>0</v>
      </c>
      <c r="J11" s="8">
        <v>63.9536176349836</v>
      </c>
      <c r="K11" s="8">
        <v>64.9550174423651</v>
      </c>
      <c r="L11" s="8">
        <v>14.1070902927464</v>
      </c>
      <c r="M11" s="8">
        <v>7.14278182236187</v>
      </c>
      <c r="N11" s="11"/>
      <c r="O11" s="11"/>
      <c r="P11" s="11"/>
      <c r="Q11" s="11"/>
    </row>
    <row r="12" spans="1:17">
      <c r="A12" s="8" t="s">
        <v>187</v>
      </c>
      <c r="B12" s="14" t="s">
        <v>200</v>
      </c>
      <c r="C12" s="8" t="s">
        <v>98</v>
      </c>
      <c r="D12" s="8">
        <v>0</v>
      </c>
      <c r="E12" s="8">
        <v>6.57965458481418</v>
      </c>
      <c r="F12" s="8">
        <v>0</v>
      </c>
      <c r="G12" s="8">
        <v>12.8968146886901</v>
      </c>
      <c r="H12" s="8">
        <v>5.49352300087086</v>
      </c>
      <c r="I12" s="8">
        <v>60.7784947224702</v>
      </c>
      <c r="J12" s="8">
        <v>0</v>
      </c>
      <c r="K12" s="8">
        <v>52.194823192954</v>
      </c>
      <c r="L12" s="8">
        <v>48.9257285973338</v>
      </c>
      <c r="M12" s="8">
        <v>53.1416044959345</v>
      </c>
      <c r="N12" s="11"/>
      <c r="O12" s="11"/>
      <c r="P12" s="11"/>
      <c r="Q12" s="11"/>
    </row>
    <row r="13" spans="1:17">
      <c r="A13" s="8" t="s">
        <v>187</v>
      </c>
      <c r="B13" s="14" t="s">
        <v>200</v>
      </c>
      <c r="C13" s="8" t="s">
        <v>95</v>
      </c>
      <c r="D13" s="8">
        <v>0</v>
      </c>
      <c r="E13" s="8">
        <v>0</v>
      </c>
      <c r="F13" s="8">
        <v>0</v>
      </c>
      <c r="G13" s="8">
        <v>1.26234744760488</v>
      </c>
      <c r="H13" s="8">
        <v>0</v>
      </c>
      <c r="I13" s="8">
        <v>0</v>
      </c>
      <c r="J13" s="8">
        <v>0</v>
      </c>
      <c r="K13" s="8">
        <v>73.8597971837951</v>
      </c>
      <c r="L13" s="8">
        <v>29.3427997293363</v>
      </c>
      <c r="M13" s="8">
        <v>11.6899</v>
      </c>
      <c r="N13" s="11"/>
      <c r="O13" s="11"/>
      <c r="P13" s="11"/>
      <c r="Q13" s="11"/>
    </row>
    <row r="14" spans="1:17">
      <c r="A14" s="8" t="s">
        <v>187</v>
      </c>
      <c r="B14" s="14" t="s">
        <v>200</v>
      </c>
      <c r="C14" s="8" t="s">
        <v>93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10.2906405466218</v>
      </c>
      <c r="L14" s="8">
        <v>12.5752561607429</v>
      </c>
      <c r="M14" s="8">
        <v>0</v>
      </c>
      <c r="N14" s="11"/>
      <c r="O14" s="11"/>
      <c r="P14" s="11"/>
      <c r="Q14" s="11"/>
    </row>
    <row r="15" spans="1:17">
      <c r="A15" s="8" t="s">
        <v>187</v>
      </c>
      <c r="B15" s="14" t="s">
        <v>200</v>
      </c>
      <c r="C15" s="8" t="s">
        <v>96</v>
      </c>
      <c r="D15" s="8">
        <v>0</v>
      </c>
      <c r="E15" s="8">
        <v>17.4622431195065</v>
      </c>
      <c r="F15" s="8">
        <v>0</v>
      </c>
      <c r="G15" s="8">
        <v>13.0786</v>
      </c>
      <c r="H15" s="8">
        <v>0</v>
      </c>
      <c r="I15" s="8">
        <v>0</v>
      </c>
      <c r="J15" s="8">
        <v>0</v>
      </c>
      <c r="K15" s="8">
        <v>20.2838156005479</v>
      </c>
      <c r="L15" s="8">
        <v>23.0486789103571</v>
      </c>
      <c r="M15" s="8">
        <v>6.90812236014693</v>
      </c>
      <c r="N15" s="11"/>
      <c r="O15" s="11"/>
      <c r="P15" s="11"/>
      <c r="Q15" s="11"/>
    </row>
    <row r="16" spans="1:17">
      <c r="A16" s="8" t="s">
        <v>187</v>
      </c>
      <c r="B16" s="14" t="s">
        <v>200</v>
      </c>
      <c r="C16" s="8" t="s">
        <v>94</v>
      </c>
      <c r="D16" s="8">
        <v>0</v>
      </c>
      <c r="E16" s="8">
        <v>0</v>
      </c>
      <c r="F16" s="8">
        <v>11.8836896216562</v>
      </c>
      <c r="G16" s="8">
        <v>5.4254447830772</v>
      </c>
      <c r="H16" s="8">
        <v>0</v>
      </c>
      <c r="I16" s="8">
        <v>5.344419355691</v>
      </c>
      <c r="J16" s="8">
        <v>0</v>
      </c>
      <c r="K16" s="8">
        <v>0</v>
      </c>
      <c r="L16" s="8">
        <v>29.5236375574524</v>
      </c>
      <c r="M16" s="8">
        <v>7.47424599009603</v>
      </c>
      <c r="N16" s="11"/>
      <c r="O16" s="11"/>
      <c r="P16" s="11"/>
      <c r="Q16" s="11"/>
    </row>
    <row r="17" spans="1:17">
      <c r="A17" s="8" t="s">
        <v>187</v>
      </c>
      <c r="B17" s="14" t="s">
        <v>201</v>
      </c>
      <c r="C17" s="8" t="s">
        <v>202</v>
      </c>
      <c r="D17" s="8">
        <v>0</v>
      </c>
      <c r="E17" s="8">
        <v>0</v>
      </c>
      <c r="F17" s="8">
        <v>0</v>
      </c>
      <c r="G17" s="8">
        <v>9.17334560208134</v>
      </c>
      <c r="H17" s="8">
        <v>0</v>
      </c>
      <c r="I17" s="8">
        <v>20.4671497063655</v>
      </c>
      <c r="J17" s="8">
        <v>11.9913165642888</v>
      </c>
      <c r="K17" s="8">
        <v>58.2580155257916</v>
      </c>
      <c r="L17" s="8">
        <v>40.5392525215009</v>
      </c>
      <c r="M17" s="8">
        <v>124.420077192955</v>
      </c>
      <c r="N17" s="11"/>
      <c r="O17" s="11"/>
      <c r="P17" s="11"/>
      <c r="Q17" s="11"/>
    </row>
    <row r="18" spans="1:17">
      <c r="A18" s="11"/>
      <c r="B18" s="11"/>
      <c r="C18" s="11"/>
      <c r="D18" s="2" t="s">
        <v>185</v>
      </c>
      <c r="E18" s="3"/>
      <c r="F18" s="3"/>
      <c r="G18" s="3"/>
      <c r="H18" s="4"/>
      <c r="I18" s="5" t="s">
        <v>186</v>
      </c>
      <c r="J18" s="6"/>
      <c r="K18" s="6"/>
      <c r="L18" s="6"/>
      <c r="M18" s="7"/>
      <c r="N18" s="8" t="s">
        <v>203</v>
      </c>
      <c r="O18" s="8" t="s">
        <v>203</v>
      </c>
      <c r="P18" s="8" t="s">
        <v>248</v>
      </c>
      <c r="Q18" s="8" t="s">
        <v>248</v>
      </c>
    </row>
    <row r="19" spans="1:17">
      <c r="A19" s="11"/>
      <c r="B19" s="8" t="s">
        <v>187</v>
      </c>
      <c r="C19" s="8" t="s">
        <v>37</v>
      </c>
      <c r="D19" s="8">
        <f t="shared" ref="D19:M19" si="0">SUM(D3:D9)</f>
        <v>392.091347891575</v>
      </c>
      <c r="E19" s="8">
        <f t="shared" si="0"/>
        <v>16.6307259519454</v>
      </c>
      <c r="F19" s="8">
        <f t="shared" si="0"/>
        <v>0</v>
      </c>
      <c r="G19" s="8">
        <f t="shared" si="0"/>
        <v>128.580973046533</v>
      </c>
      <c r="H19" s="8">
        <f t="shared" si="0"/>
        <v>0</v>
      </c>
      <c r="I19" s="8">
        <f t="shared" si="0"/>
        <v>0</v>
      </c>
      <c r="J19" s="8">
        <f t="shared" si="0"/>
        <v>0</v>
      </c>
      <c r="K19" s="8">
        <f t="shared" si="0"/>
        <v>0</v>
      </c>
      <c r="L19" s="8">
        <f t="shared" si="0"/>
        <v>10.7251324896344</v>
      </c>
      <c r="M19" s="8">
        <f t="shared" si="0"/>
        <v>7.19594547376329</v>
      </c>
      <c r="N19" s="8">
        <f>AVERAGE(D19:H19)</f>
        <v>107.460609378011</v>
      </c>
      <c r="O19" s="8">
        <f t="shared" ref="O19:O21" si="1">AVERAGE(I19:M19)</f>
        <v>3.58421559267953</v>
      </c>
      <c r="P19" s="8">
        <f>LOG(N19+1,2)</f>
        <v>6.76102737093995</v>
      </c>
      <c r="Q19" s="8">
        <f t="shared" ref="Q19:Q21" si="2">LOG(O19+1,2)</f>
        <v>2.19667489470032</v>
      </c>
    </row>
    <row r="20" spans="1:17">
      <c r="A20" s="11"/>
      <c r="B20" s="8" t="s">
        <v>187</v>
      </c>
      <c r="C20" s="8" t="s">
        <v>36</v>
      </c>
      <c r="D20" s="8">
        <f t="shared" ref="D20:M20" si="3">D10</f>
        <v>0</v>
      </c>
      <c r="E20" s="8">
        <f t="shared" si="3"/>
        <v>0</v>
      </c>
      <c r="F20" s="8">
        <f t="shared" si="3"/>
        <v>0</v>
      </c>
      <c r="G20" s="8">
        <f t="shared" si="3"/>
        <v>0.661451338489484</v>
      </c>
      <c r="H20" s="8">
        <f t="shared" si="3"/>
        <v>0</v>
      </c>
      <c r="I20" s="8">
        <f t="shared" si="3"/>
        <v>0</v>
      </c>
      <c r="J20" s="8">
        <f t="shared" si="3"/>
        <v>242.632823744842</v>
      </c>
      <c r="K20" s="8">
        <f t="shared" si="3"/>
        <v>0</v>
      </c>
      <c r="L20" s="8">
        <f t="shared" si="3"/>
        <v>0</v>
      </c>
      <c r="M20" s="8">
        <f t="shared" si="3"/>
        <v>13.3194635567506</v>
      </c>
      <c r="N20" s="8">
        <f t="shared" ref="N19:N21" si="4">AVERAGE(D20:H20)</f>
        <v>0.132290267697897</v>
      </c>
      <c r="O20" s="8">
        <f t="shared" si="1"/>
        <v>51.1904574603185</v>
      </c>
      <c r="P20" s="8">
        <f t="shared" ref="P19:P21" si="5">LOG(N20+1,2)</f>
        <v>0.179243846939406</v>
      </c>
      <c r="Q20" s="8">
        <f t="shared" si="2"/>
        <v>5.70571414242618</v>
      </c>
    </row>
    <row r="21" spans="1:17">
      <c r="A21" s="11"/>
      <c r="B21" s="8" t="s">
        <v>187</v>
      </c>
      <c r="C21" s="8" t="s">
        <v>35</v>
      </c>
      <c r="D21" s="8">
        <f t="shared" ref="D21:M21" si="6">SUM(D11:D17)</f>
        <v>0</v>
      </c>
      <c r="E21" s="8">
        <f t="shared" si="6"/>
        <v>24.0418977043206</v>
      </c>
      <c r="F21" s="8">
        <f t="shared" si="6"/>
        <v>11.8836896216562</v>
      </c>
      <c r="G21" s="8">
        <f t="shared" si="6"/>
        <v>45.3027356433182</v>
      </c>
      <c r="H21" s="8">
        <f t="shared" si="6"/>
        <v>5.49352300087086</v>
      </c>
      <c r="I21" s="8">
        <f t="shared" si="6"/>
        <v>86.5900637845267</v>
      </c>
      <c r="J21" s="8">
        <f t="shared" si="6"/>
        <v>75.9449341992724</v>
      </c>
      <c r="K21" s="8">
        <f t="shared" si="6"/>
        <v>279.842109492075</v>
      </c>
      <c r="L21" s="8">
        <f t="shared" si="6"/>
        <v>198.06244376947</v>
      </c>
      <c r="M21" s="8">
        <f t="shared" si="6"/>
        <v>210.776731861494</v>
      </c>
      <c r="N21" s="8">
        <f t="shared" si="4"/>
        <v>17.3443691940332</v>
      </c>
      <c r="O21" s="8">
        <f t="shared" si="1"/>
        <v>170.243256621368</v>
      </c>
      <c r="P21" s="8">
        <f t="shared" si="5"/>
        <v>4.19726539051841</v>
      </c>
      <c r="Q21" s="8">
        <f t="shared" si="2"/>
        <v>7.41990336715907</v>
      </c>
    </row>
    <row r="22" spans="1:17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8" t="s">
        <v>249</v>
      </c>
      <c r="O22" s="8" t="s">
        <v>250</v>
      </c>
      <c r="P22" s="11"/>
      <c r="Q22" s="11"/>
    </row>
    <row r="23" spans="1:17">
      <c r="A23" s="11"/>
      <c r="B23" s="8" t="s">
        <v>187</v>
      </c>
      <c r="C23" s="8" t="s">
        <v>37</v>
      </c>
      <c r="D23" s="8">
        <f t="shared" ref="D23:M23" si="7">LOG(D19+1,2)</f>
        <v>8.61872079955228</v>
      </c>
      <c r="E23" s="8">
        <f t="shared" si="7"/>
        <v>4.14001997429357</v>
      </c>
      <c r="F23" s="8">
        <f t="shared" si="7"/>
        <v>0</v>
      </c>
      <c r="G23" s="8">
        <f t="shared" si="7"/>
        <v>7.01771008618691</v>
      </c>
      <c r="H23" s="8">
        <f t="shared" si="7"/>
        <v>0</v>
      </c>
      <c r="I23" s="8">
        <f t="shared" si="7"/>
        <v>0</v>
      </c>
      <c r="J23" s="8">
        <f t="shared" si="7"/>
        <v>0</v>
      </c>
      <c r="K23" s="8">
        <f t="shared" si="7"/>
        <v>0</v>
      </c>
      <c r="L23" s="8">
        <f t="shared" si="7"/>
        <v>3.55153231963727</v>
      </c>
      <c r="M23" s="15">
        <f t="shared" si="7"/>
        <v>3.0349103863754</v>
      </c>
      <c r="N23" s="8"/>
      <c r="O23" s="8"/>
      <c r="P23" s="11"/>
      <c r="Q23" s="11"/>
    </row>
    <row r="24" spans="1:17">
      <c r="A24" s="11"/>
      <c r="B24" s="8" t="s">
        <v>187</v>
      </c>
      <c r="C24" s="8" t="s">
        <v>36</v>
      </c>
      <c r="D24" s="8">
        <f t="shared" ref="D24:M24" si="8">LOG(D20+1,2)</f>
        <v>0</v>
      </c>
      <c r="E24" s="8">
        <f t="shared" si="8"/>
        <v>0</v>
      </c>
      <c r="F24" s="8">
        <f t="shared" si="8"/>
        <v>0</v>
      </c>
      <c r="G24" s="8">
        <f t="shared" si="8"/>
        <v>0.732444039194268</v>
      </c>
      <c r="H24" s="8">
        <f t="shared" si="8"/>
        <v>0</v>
      </c>
      <c r="I24" s="8">
        <f t="shared" si="8"/>
        <v>0</v>
      </c>
      <c r="J24" s="8">
        <f t="shared" si="8"/>
        <v>7.9285647050543</v>
      </c>
      <c r="K24" s="8">
        <f t="shared" si="8"/>
        <v>0</v>
      </c>
      <c r="L24" s="8">
        <f t="shared" si="8"/>
        <v>0</v>
      </c>
      <c r="M24" s="15">
        <f t="shared" si="8"/>
        <v>3.83990554150405</v>
      </c>
      <c r="N24" s="8"/>
      <c r="O24" s="8"/>
      <c r="P24" s="11"/>
      <c r="Q24" s="11"/>
    </row>
    <row r="25" spans="1:17">
      <c r="A25" s="11"/>
      <c r="B25" s="8" t="s">
        <v>187</v>
      </c>
      <c r="C25" s="8" t="s">
        <v>35</v>
      </c>
      <c r="D25" s="8">
        <f t="shared" ref="D25:M25" si="9">LOG(D21+1,2)</f>
        <v>0</v>
      </c>
      <c r="E25" s="8">
        <f t="shared" si="9"/>
        <v>4.64627199041958</v>
      </c>
      <c r="F25" s="8">
        <f t="shared" si="9"/>
        <v>3.68747390546684</v>
      </c>
      <c r="G25" s="8">
        <f t="shared" si="9"/>
        <v>5.53302552773481</v>
      </c>
      <c r="H25" s="8">
        <f t="shared" si="9"/>
        <v>2.6990014114868</v>
      </c>
      <c r="I25" s="8">
        <f t="shared" si="9"/>
        <v>6.45269531469287</v>
      </c>
      <c r="J25" s="8">
        <f t="shared" si="9"/>
        <v>6.26575444228343</v>
      </c>
      <c r="K25" s="8">
        <f t="shared" si="9"/>
        <v>8.13361545946509</v>
      </c>
      <c r="L25" s="8">
        <f t="shared" si="9"/>
        <v>7.63707724961578</v>
      </c>
      <c r="M25" s="15">
        <f t="shared" si="9"/>
        <v>7.72640027734819</v>
      </c>
      <c r="N25" s="8">
        <v>0.004956</v>
      </c>
      <c r="O25" s="8" t="s">
        <v>251</v>
      </c>
      <c r="P25" s="11"/>
      <c r="Q25" s="11"/>
    </row>
    <row r="26" spans="1:17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>
      <c r="A28" s="8" t="s">
        <v>205</v>
      </c>
      <c r="B28" s="8" t="s">
        <v>188</v>
      </c>
      <c r="C28" s="8" t="s">
        <v>189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11"/>
      <c r="O28" s="11"/>
      <c r="P28" s="11"/>
      <c r="Q28" s="11"/>
    </row>
    <row r="29" spans="1:17">
      <c r="A29" s="8" t="s">
        <v>205</v>
      </c>
      <c r="B29" s="8" t="s">
        <v>190</v>
      </c>
      <c r="C29" s="8" t="s">
        <v>191</v>
      </c>
      <c r="D29" s="8">
        <v>29.9105164878824</v>
      </c>
      <c r="E29" s="8">
        <v>0</v>
      </c>
      <c r="F29" s="8">
        <v>0</v>
      </c>
      <c r="G29" s="8">
        <v>52.9135607826174</v>
      </c>
      <c r="H29" s="8">
        <v>0</v>
      </c>
      <c r="I29" s="8">
        <v>0</v>
      </c>
      <c r="J29" s="8">
        <v>2.52577662559396</v>
      </c>
      <c r="K29" s="8">
        <v>0</v>
      </c>
      <c r="L29" s="8">
        <v>0</v>
      </c>
      <c r="M29" s="8">
        <v>0</v>
      </c>
      <c r="N29" s="11"/>
      <c r="O29" s="11"/>
      <c r="P29" s="11"/>
      <c r="Q29" s="11"/>
    </row>
    <row r="30" spans="1:17">
      <c r="A30" s="8" t="s">
        <v>205</v>
      </c>
      <c r="B30" s="8" t="s">
        <v>192</v>
      </c>
      <c r="C30" s="8" t="s">
        <v>193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11"/>
      <c r="O30" s="11"/>
      <c r="P30" s="11"/>
      <c r="Q30" s="11"/>
    </row>
    <row r="31" spans="1:17">
      <c r="A31" s="8" t="s">
        <v>205</v>
      </c>
      <c r="B31" s="8" t="s">
        <v>192</v>
      </c>
      <c r="C31" s="8" t="s">
        <v>194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11"/>
      <c r="O31" s="11"/>
      <c r="P31" s="11"/>
      <c r="Q31" s="11"/>
    </row>
    <row r="32" spans="1:17">
      <c r="A32" s="8" t="s">
        <v>205</v>
      </c>
      <c r="B32" s="8" t="s">
        <v>195</v>
      </c>
      <c r="C32" s="8" t="s">
        <v>196</v>
      </c>
      <c r="D32" s="8">
        <v>0</v>
      </c>
      <c r="E32" s="8">
        <v>0</v>
      </c>
      <c r="F32" s="8">
        <v>0</v>
      </c>
      <c r="G32" s="8">
        <v>15.8230112859324</v>
      </c>
      <c r="H32" s="8">
        <v>0</v>
      </c>
      <c r="I32" s="8">
        <v>0</v>
      </c>
      <c r="J32" s="8">
        <v>0</v>
      </c>
      <c r="K32" s="8">
        <v>0</v>
      </c>
      <c r="L32" s="8">
        <v>4.61099498634732</v>
      </c>
      <c r="M32" s="8">
        <v>0</v>
      </c>
      <c r="N32" s="11"/>
      <c r="O32" s="11"/>
      <c r="P32" s="11"/>
      <c r="Q32" s="11"/>
    </row>
    <row r="33" spans="1:17">
      <c r="A33" s="8" t="s">
        <v>205</v>
      </c>
      <c r="B33" s="8" t="s">
        <v>195</v>
      </c>
      <c r="C33" s="8" t="s">
        <v>197</v>
      </c>
      <c r="D33" s="8">
        <v>0</v>
      </c>
      <c r="E33" s="8">
        <v>0</v>
      </c>
      <c r="F33" s="8">
        <v>0</v>
      </c>
      <c r="G33" s="8">
        <v>43.4886763558394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11"/>
      <c r="O33" s="11"/>
      <c r="P33" s="11"/>
      <c r="Q33" s="11"/>
    </row>
    <row r="34" spans="1:17">
      <c r="A34" s="8" t="s">
        <v>205</v>
      </c>
      <c r="B34" s="8" t="s">
        <v>198</v>
      </c>
      <c r="C34" s="8" t="s">
        <v>199</v>
      </c>
      <c r="D34" s="8">
        <v>0</v>
      </c>
      <c r="E34" s="8">
        <v>0</v>
      </c>
      <c r="F34" s="8">
        <v>0</v>
      </c>
      <c r="G34" s="8">
        <v>12.3195282014899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9.19537991581931</v>
      </c>
      <c r="N34" s="11"/>
      <c r="O34" s="11"/>
      <c r="P34" s="11"/>
      <c r="Q34" s="11"/>
    </row>
    <row r="35" spans="1:17">
      <c r="A35" s="8" t="s">
        <v>205</v>
      </c>
      <c r="B35" s="8" t="s">
        <v>36</v>
      </c>
      <c r="C35" s="8" t="s">
        <v>130</v>
      </c>
      <c r="D35" s="8">
        <v>0</v>
      </c>
      <c r="E35" s="8">
        <v>0</v>
      </c>
      <c r="F35" s="8">
        <v>5.55676187553255</v>
      </c>
      <c r="G35" s="8">
        <v>0</v>
      </c>
      <c r="H35" s="8">
        <v>0</v>
      </c>
      <c r="I35" s="8">
        <v>0</v>
      </c>
      <c r="J35" s="8">
        <v>179.025263703765</v>
      </c>
      <c r="K35" s="8">
        <v>0</v>
      </c>
      <c r="L35" s="8">
        <v>0</v>
      </c>
      <c r="M35" s="8">
        <v>0</v>
      </c>
      <c r="N35" s="11"/>
      <c r="O35" s="11"/>
      <c r="P35" s="11"/>
      <c r="Q35" s="11"/>
    </row>
    <row r="36" spans="1:17">
      <c r="A36" s="8" t="s">
        <v>205</v>
      </c>
      <c r="B36" s="8" t="s">
        <v>200</v>
      </c>
      <c r="C36" s="8" t="s">
        <v>97</v>
      </c>
      <c r="D36" s="8">
        <v>0</v>
      </c>
      <c r="E36" s="8">
        <v>0</v>
      </c>
      <c r="F36" s="8">
        <v>0</v>
      </c>
      <c r="G36" s="8">
        <v>3.26199186824921</v>
      </c>
      <c r="H36" s="8">
        <v>0</v>
      </c>
      <c r="I36" s="8">
        <v>8.37291426054835</v>
      </c>
      <c r="J36" s="8">
        <v>41.3092149969943</v>
      </c>
      <c r="K36" s="8">
        <v>62.0008871476333</v>
      </c>
      <c r="L36" s="8">
        <v>11.16296509514</v>
      </c>
      <c r="M36" s="8">
        <v>16.5098</v>
      </c>
      <c r="N36" s="11"/>
      <c r="O36" s="11"/>
      <c r="P36" s="11"/>
      <c r="Q36" s="11"/>
    </row>
    <row r="37" spans="1:17">
      <c r="A37" s="8" t="s">
        <v>205</v>
      </c>
      <c r="B37" s="8" t="s">
        <v>200</v>
      </c>
      <c r="C37" s="8" t="s">
        <v>98</v>
      </c>
      <c r="D37" s="8">
        <v>0</v>
      </c>
      <c r="E37" s="8">
        <v>8.31535667668564</v>
      </c>
      <c r="F37" s="8">
        <v>0</v>
      </c>
      <c r="G37" s="8">
        <v>30.0082084681787</v>
      </c>
      <c r="H37" s="8">
        <v>0</v>
      </c>
      <c r="I37" s="8">
        <v>0</v>
      </c>
      <c r="J37" s="8">
        <v>0</v>
      </c>
      <c r="K37" s="8">
        <v>32.3180954013446</v>
      </c>
      <c r="L37" s="8">
        <v>35.3470768359165</v>
      </c>
      <c r="M37" s="8">
        <v>69.644363696043</v>
      </c>
      <c r="N37" s="11"/>
      <c r="O37" s="11"/>
      <c r="P37" s="11"/>
      <c r="Q37" s="11"/>
    </row>
    <row r="38" spans="1:17">
      <c r="A38" s="8" t="s">
        <v>205</v>
      </c>
      <c r="B38" s="8" t="s">
        <v>200</v>
      </c>
      <c r="C38" s="8" t="s">
        <v>95</v>
      </c>
      <c r="D38" s="8">
        <v>0</v>
      </c>
      <c r="E38" s="8">
        <v>0</v>
      </c>
      <c r="F38" s="8">
        <v>0</v>
      </c>
      <c r="G38" s="8">
        <v>2.28133717579251</v>
      </c>
      <c r="H38" s="8">
        <v>0</v>
      </c>
      <c r="I38" s="8">
        <v>0</v>
      </c>
      <c r="J38" s="8">
        <v>0</v>
      </c>
      <c r="K38" s="8">
        <v>90.6833549013264</v>
      </c>
      <c r="L38" s="8">
        <v>44.0139086500769</v>
      </c>
      <c r="M38" s="8">
        <v>0</v>
      </c>
      <c r="N38" s="11"/>
      <c r="O38" s="11"/>
      <c r="P38" s="11"/>
      <c r="Q38" s="11"/>
    </row>
    <row r="39" spans="1:17">
      <c r="A39" s="8" t="s">
        <v>205</v>
      </c>
      <c r="B39" s="8" t="s">
        <v>200</v>
      </c>
      <c r="C39" s="8" t="s">
        <v>93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38.1998388462039</v>
      </c>
      <c r="L39" s="8">
        <v>0</v>
      </c>
      <c r="M39" s="8">
        <v>0</v>
      </c>
      <c r="N39" s="11"/>
      <c r="O39" s="11"/>
      <c r="P39" s="11"/>
      <c r="Q39" s="11"/>
    </row>
    <row r="40" spans="1:17">
      <c r="A40" s="8" t="s">
        <v>205</v>
      </c>
      <c r="B40" s="8" t="s">
        <v>200</v>
      </c>
      <c r="C40" s="8" t="s">
        <v>96</v>
      </c>
      <c r="D40" s="8">
        <v>0</v>
      </c>
      <c r="E40" s="8">
        <v>6.42289269491136</v>
      </c>
      <c r="F40" s="8">
        <v>0</v>
      </c>
      <c r="G40" s="8">
        <v>0.511982627034281</v>
      </c>
      <c r="H40" s="8">
        <v>0</v>
      </c>
      <c r="I40" s="8">
        <v>0</v>
      </c>
      <c r="J40" s="8">
        <v>0</v>
      </c>
      <c r="K40" s="8">
        <v>2.05378714463234</v>
      </c>
      <c r="L40" s="8">
        <v>108.342068320075</v>
      </c>
      <c r="M40" s="8">
        <v>0</v>
      </c>
      <c r="N40" s="11"/>
      <c r="O40" s="11"/>
      <c r="P40" s="11"/>
      <c r="Q40" s="11"/>
    </row>
    <row r="41" spans="1:17">
      <c r="A41" s="8" t="s">
        <v>205</v>
      </c>
      <c r="B41" s="8" t="s">
        <v>200</v>
      </c>
      <c r="C41" s="8" t="s">
        <v>94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1.84696775401023</v>
      </c>
      <c r="J41" s="8">
        <v>0</v>
      </c>
      <c r="K41" s="8">
        <v>37.3692181396139</v>
      </c>
      <c r="L41" s="8">
        <v>13.337585922899</v>
      </c>
      <c r="M41" s="8">
        <v>18.239233455271</v>
      </c>
      <c r="N41" s="11"/>
      <c r="O41" s="11"/>
      <c r="P41" s="11"/>
      <c r="Q41" s="11"/>
    </row>
    <row r="42" spans="1:17">
      <c r="A42" s="8" t="s">
        <v>205</v>
      </c>
      <c r="B42" s="8" t="s">
        <v>201</v>
      </c>
      <c r="C42" s="8" t="s">
        <v>202</v>
      </c>
      <c r="D42" s="8">
        <v>0</v>
      </c>
      <c r="E42" s="8">
        <v>0</v>
      </c>
      <c r="F42" s="8">
        <v>14.9087992246054</v>
      </c>
      <c r="G42" s="8">
        <v>4.26381065228366</v>
      </c>
      <c r="H42" s="8">
        <v>0</v>
      </c>
      <c r="I42" s="8">
        <v>66.102037962687</v>
      </c>
      <c r="J42" s="8">
        <v>17.6713830090264</v>
      </c>
      <c r="K42" s="8">
        <v>154.844350049846</v>
      </c>
      <c r="L42" s="8">
        <v>63.3234628172027</v>
      </c>
      <c r="M42" s="8">
        <v>83.1817768453399</v>
      </c>
      <c r="N42" s="11"/>
      <c r="O42" s="11"/>
      <c r="P42" s="11"/>
      <c r="Q42" s="11"/>
    </row>
    <row r="43" spans="1:17">
      <c r="A43" s="11"/>
      <c r="B43" s="11"/>
      <c r="C43" s="11"/>
      <c r="D43" s="2" t="s">
        <v>185</v>
      </c>
      <c r="E43" s="3"/>
      <c r="F43" s="3"/>
      <c r="G43" s="3"/>
      <c r="H43" s="4"/>
      <c r="I43" s="5" t="s">
        <v>186</v>
      </c>
      <c r="J43" s="6"/>
      <c r="K43" s="6"/>
      <c r="L43" s="6"/>
      <c r="M43" s="7"/>
      <c r="N43" s="8" t="s">
        <v>203</v>
      </c>
      <c r="O43" s="8" t="s">
        <v>203</v>
      </c>
      <c r="P43" s="8" t="s">
        <v>248</v>
      </c>
      <c r="Q43" s="8" t="s">
        <v>248</v>
      </c>
    </row>
    <row r="44" spans="1:17">
      <c r="A44" s="11"/>
      <c r="B44" s="8" t="s">
        <v>205</v>
      </c>
      <c r="C44" s="8" t="s">
        <v>37</v>
      </c>
      <c r="D44" s="8">
        <f t="shared" ref="D44:M44" si="10">SUM(D28:D34)</f>
        <v>29.9105164878824</v>
      </c>
      <c r="E44" s="8">
        <f t="shared" si="10"/>
        <v>0</v>
      </c>
      <c r="F44" s="8">
        <f t="shared" si="10"/>
        <v>0</v>
      </c>
      <c r="G44" s="8">
        <f t="shared" si="10"/>
        <v>124.544776625879</v>
      </c>
      <c r="H44" s="8">
        <f t="shared" si="10"/>
        <v>0</v>
      </c>
      <c r="I44" s="8">
        <f t="shared" si="10"/>
        <v>0</v>
      </c>
      <c r="J44" s="8">
        <f t="shared" si="10"/>
        <v>2.52577662559396</v>
      </c>
      <c r="K44" s="8">
        <f t="shared" si="10"/>
        <v>0</v>
      </c>
      <c r="L44" s="8">
        <f t="shared" si="10"/>
        <v>4.61099498634732</v>
      </c>
      <c r="M44" s="8">
        <f t="shared" si="10"/>
        <v>9.19537991581931</v>
      </c>
      <c r="N44" s="8">
        <f t="shared" ref="N44:N46" si="11">AVERAGE(D44:H44)</f>
        <v>30.8910586227523</v>
      </c>
      <c r="O44" s="8">
        <f t="shared" ref="O44:O46" si="12">AVERAGE(I44:M44)</f>
        <v>3.26643030555212</v>
      </c>
      <c r="P44" s="8">
        <f t="shared" ref="P44:P46" si="13">LOG(N44+1,2)</f>
        <v>4.99508008349183</v>
      </c>
      <c r="Q44" s="8">
        <f t="shared" ref="Q44:Q46" si="14">LOG(O44+1,2)</f>
        <v>2.09302948100399</v>
      </c>
    </row>
    <row r="45" spans="1:17">
      <c r="A45" s="11"/>
      <c r="B45" s="8" t="s">
        <v>205</v>
      </c>
      <c r="C45" s="8" t="s">
        <v>36</v>
      </c>
      <c r="D45" s="8">
        <f t="shared" ref="D45:M45" si="15">D35</f>
        <v>0</v>
      </c>
      <c r="E45" s="8">
        <f t="shared" si="15"/>
        <v>0</v>
      </c>
      <c r="F45" s="8">
        <f t="shared" si="15"/>
        <v>5.55676187553255</v>
      </c>
      <c r="G45" s="8">
        <f t="shared" si="15"/>
        <v>0</v>
      </c>
      <c r="H45" s="8">
        <f t="shared" si="15"/>
        <v>0</v>
      </c>
      <c r="I45" s="8">
        <f t="shared" si="15"/>
        <v>0</v>
      </c>
      <c r="J45" s="8">
        <f t="shared" si="15"/>
        <v>179.025263703765</v>
      </c>
      <c r="K45" s="8">
        <f t="shared" si="15"/>
        <v>0</v>
      </c>
      <c r="L45" s="8">
        <f t="shared" si="15"/>
        <v>0</v>
      </c>
      <c r="M45" s="8">
        <f t="shared" si="15"/>
        <v>0</v>
      </c>
      <c r="N45" s="8">
        <f t="shared" si="11"/>
        <v>1.11135237510651</v>
      </c>
      <c r="O45" s="8">
        <f t="shared" si="12"/>
        <v>35.805052740753</v>
      </c>
      <c r="P45" s="8">
        <f t="shared" si="13"/>
        <v>1.07816737801905</v>
      </c>
      <c r="Q45" s="8">
        <f t="shared" si="14"/>
        <v>5.20183193355102</v>
      </c>
    </row>
    <row r="46" spans="1:17">
      <c r="A46" s="11"/>
      <c r="B46" s="8" t="s">
        <v>205</v>
      </c>
      <c r="C46" s="8" t="s">
        <v>35</v>
      </c>
      <c r="D46" s="8">
        <f t="shared" ref="D46:M46" si="16">SUM(D36:D42)</f>
        <v>0</v>
      </c>
      <c r="E46" s="8">
        <f t="shared" si="16"/>
        <v>14.738249371597</v>
      </c>
      <c r="F46" s="8">
        <f t="shared" si="16"/>
        <v>14.9087992246054</v>
      </c>
      <c r="G46" s="8">
        <f t="shared" si="16"/>
        <v>40.3273307915384</v>
      </c>
      <c r="H46" s="8">
        <f t="shared" si="16"/>
        <v>0</v>
      </c>
      <c r="I46" s="8">
        <f t="shared" si="16"/>
        <v>76.3219199772456</v>
      </c>
      <c r="J46" s="8">
        <f t="shared" si="16"/>
        <v>58.9805980060208</v>
      </c>
      <c r="K46" s="8">
        <f t="shared" si="16"/>
        <v>417.469531630601</v>
      </c>
      <c r="L46" s="8">
        <f t="shared" si="16"/>
        <v>275.52706764131</v>
      </c>
      <c r="M46" s="8">
        <f t="shared" si="16"/>
        <v>187.575173996654</v>
      </c>
      <c r="N46" s="8">
        <f t="shared" si="11"/>
        <v>13.9948758775482</v>
      </c>
      <c r="O46" s="8">
        <f t="shared" si="12"/>
        <v>203.174858250366</v>
      </c>
      <c r="P46" s="8">
        <f t="shared" si="13"/>
        <v>3.90639767500753</v>
      </c>
      <c r="Q46" s="8">
        <f t="shared" si="14"/>
        <v>7.6736614158795</v>
      </c>
    </row>
    <row r="47" spans="1:1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8" t="s">
        <v>249</v>
      </c>
      <c r="O47" s="8" t="s">
        <v>250</v>
      </c>
      <c r="P47" s="11"/>
      <c r="Q47" s="11"/>
    </row>
    <row r="48" spans="1:17">
      <c r="A48" s="11"/>
      <c r="B48" s="8" t="s">
        <v>205</v>
      </c>
      <c r="C48" s="8" t="s">
        <v>37</v>
      </c>
      <c r="D48" s="8">
        <f t="shared" ref="D48:M48" si="17">LOG(D44+1,2)</f>
        <v>4.95002585546594</v>
      </c>
      <c r="E48" s="8">
        <f t="shared" si="17"/>
        <v>0</v>
      </c>
      <c r="F48" s="8">
        <f t="shared" si="17"/>
        <v>0</v>
      </c>
      <c r="G48" s="8">
        <f t="shared" si="17"/>
        <v>6.97205819534389</v>
      </c>
      <c r="H48" s="8">
        <f t="shared" si="17"/>
        <v>0</v>
      </c>
      <c r="I48" s="8">
        <f t="shared" si="17"/>
        <v>0</v>
      </c>
      <c r="J48" s="8">
        <f t="shared" si="17"/>
        <v>1.81794107608861</v>
      </c>
      <c r="K48" s="8">
        <f t="shared" si="17"/>
        <v>0</v>
      </c>
      <c r="L48" s="8">
        <f t="shared" si="17"/>
        <v>2.48825662370176</v>
      </c>
      <c r="M48" s="15">
        <f t="shared" si="17"/>
        <v>3.34984363114979</v>
      </c>
      <c r="N48" s="8"/>
      <c r="O48" s="8"/>
      <c r="P48" s="11"/>
      <c r="Q48" s="11"/>
    </row>
    <row r="49" spans="1:17">
      <c r="A49" s="11"/>
      <c r="B49" s="8" t="s">
        <v>205</v>
      </c>
      <c r="C49" s="8" t="s">
        <v>36</v>
      </c>
      <c r="D49" s="8">
        <f t="shared" ref="D49:M49" si="18">LOG(D45+1,2)</f>
        <v>0</v>
      </c>
      <c r="E49" s="8">
        <f t="shared" si="18"/>
        <v>0</v>
      </c>
      <c r="F49" s="8">
        <f t="shared" si="18"/>
        <v>2.71298350089725</v>
      </c>
      <c r="G49" s="8">
        <f t="shared" si="18"/>
        <v>0</v>
      </c>
      <c r="H49" s="8">
        <f t="shared" si="18"/>
        <v>0</v>
      </c>
      <c r="I49" s="8">
        <f t="shared" si="18"/>
        <v>0</v>
      </c>
      <c r="J49" s="8">
        <f t="shared" si="18"/>
        <v>7.49205557001067</v>
      </c>
      <c r="K49" s="8">
        <f t="shared" si="18"/>
        <v>0</v>
      </c>
      <c r="L49" s="8">
        <f t="shared" si="18"/>
        <v>0</v>
      </c>
      <c r="M49" s="15">
        <f t="shared" si="18"/>
        <v>0</v>
      </c>
      <c r="N49" s="8"/>
      <c r="O49" s="8"/>
      <c r="P49" s="11"/>
      <c r="Q49" s="11"/>
    </row>
    <row r="50" spans="1:17">
      <c r="A50" s="11"/>
      <c r="B50" s="8" t="s">
        <v>205</v>
      </c>
      <c r="C50" s="8" t="s">
        <v>35</v>
      </c>
      <c r="D50" s="8">
        <f t="shared" ref="D50:M50" si="19">LOG(D46+1,2)</f>
        <v>0</v>
      </c>
      <c r="E50" s="8">
        <f t="shared" si="19"/>
        <v>3.97620316791969</v>
      </c>
      <c r="F50" s="8">
        <f t="shared" si="19"/>
        <v>3.99175304192758</v>
      </c>
      <c r="G50" s="8">
        <f t="shared" si="19"/>
        <v>5.36902428225901</v>
      </c>
      <c r="H50" s="8">
        <f t="shared" si="19"/>
        <v>0</v>
      </c>
      <c r="I50" s="8">
        <f t="shared" si="19"/>
        <v>6.27280555637935</v>
      </c>
      <c r="J50" s="8">
        <f t="shared" si="19"/>
        <v>5.90642400082225</v>
      </c>
      <c r="K50" s="8">
        <f t="shared" si="19"/>
        <v>8.70897877511757</v>
      </c>
      <c r="L50" s="8">
        <f t="shared" si="19"/>
        <v>8.11127689425141</v>
      </c>
      <c r="M50" s="15">
        <f t="shared" si="19"/>
        <v>7.55899594686182</v>
      </c>
      <c r="N50" s="8">
        <v>0.010349</v>
      </c>
      <c r="O50" s="8" t="s">
        <v>252</v>
      </c>
      <c r="P50" s="11"/>
      <c r="Q50" s="11"/>
    </row>
    <row r="51" spans="1:17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>
      <c r="A53" s="8" t="s">
        <v>206</v>
      </c>
      <c r="B53" s="14" t="s">
        <v>188</v>
      </c>
      <c r="C53" s="8" t="s">
        <v>189</v>
      </c>
      <c r="D53" s="8">
        <v>209.052746086147</v>
      </c>
      <c r="E53" s="8">
        <v>0</v>
      </c>
      <c r="F53" s="8">
        <v>0</v>
      </c>
      <c r="G53" s="8">
        <v>33.1908058514783</v>
      </c>
      <c r="H53" s="8">
        <v>0</v>
      </c>
      <c r="I53" s="8">
        <v>0</v>
      </c>
      <c r="J53" s="8">
        <v>0</v>
      </c>
      <c r="K53" s="8">
        <v>0</v>
      </c>
      <c r="L53" s="8">
        <v>12.7164060802086</v>
      </c>
      <c r="M53" s="8">
        <v>0</v>
      </c>
      <c r="N53" s="11"/>
      <c r="O53" s="11"/>
      <c r="P53" s="11"/>
      <c r="Q53" s="11"/>
    </row>
    <row r="54" spans="1:17">
      <c r="A54" s="8" t="s">
        <v>206</v>
      </c>
      <c r="B54" s="14" t="s">
        <v>190</v>
      </c>
      <c r="C54" s="8" t="s">
        <v>191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11"/>
      <c r="O54" s="11"/>
      <c r="P54" s="11"/>
      <c r="Q54" s="11"/>
    </row>
    <row r="55" spans="1:17">
      <c r="A55" s="8" t="s">
        <v>206</v>
      </c>
      <c r="B55" s="14" t="s">
        <v>192</v>
      </c>
      <c r="C55" s="8" t="s">
        <v>193</v>
      </c>
      <c r="D55" s="8">
        <v>0</v>
      </c>
      <c r="E55" s="8">
        <v>9.31319475599422</v>
      </c>
      <c r="F55" s="8">
        <v>0</v>
      </c>
      <c r="G55" s="8">
        <v>90.0709918304913</v>
      </c>
      <c r="H55" s="8">
        <v>0</v>
      </c>
      <c r="I55" s="8">
        <v>0</v>
      </c>
      <c r="J55" s="8">
        <v>0</v>
      </c>
      <c r="K55" s="8">
        <v>0</v>
      </c>
      <c r="L55" s="8">
        <v>2.64191441846681</v>
      </c>
      <c r="M55" s="8">
        <v>7.162222593889</v>
      </c>
      <c r="N55" s="11"/>
      <c r="O55" s="11"/>
      <c r="P55" s="11"/>
      <c r="Q55" s="11"/>
    </row>
    <row r="56" spans="1:17">
      <c r="A56" s="8" t="s">
        <v>206</v>
      </c>
      <c r="B56" s="14" t="s">
        <v>192</v>
      </c>
      <c r="C56" s="8" t="s">
        <v>194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11"/>
      <c r="O56" s="11"/>
      <c r="P56" s="11"/>
      <c r="Q56" s="11"/>
    </row>
    <row r="57" spans="1:17">
      <c r="A57" s="8" t="s">
        <v>206</v>
      </c>
      <c r="B57" s="14" t="s">
        <v>195</v>
      </c>
      <c r="C57" s="8" t="s">
        <v>196</v>
      </c>
      <c r="D57" s="8">
        <v>0</v>
      </c>
      <c r="E57" s="8">
        <v>0</v>
      </c>
      <c r="F57" s="8">
        <v>0</v>
      </c>
      <c r="G57" s="8">
        <v>16.3306105714646</v>
      </c>
      <c r="H57" s="8">
        <v>0</v>
      </c>
      <c r="I57" s="8">
        <v>0</v>
      </c>
      <c r="J57" s="8">
        <v>0</v>
      </c>
      <c r="K57" s="8">
        <v>0</v>
      </c>
      <c r="L57" s="8">
        <v>1.33447374077524</v>
      </c>
      <c r="M57" s="8">
        <v>0</v>
      </c>
      <c r="N57" s="11"/>
      <c r="O57" s="11"/>
      <c r="P57" s="11"/>
      <c r="Q57" s="11"/>
    </row>
    <row r="58" spans="1:17">
      <c r="A58" s="8" t="s">
        <v>206</v>
      </c>
      <c r="B58" s="14" t="s">
        <v>195</v>
      </c>
      <c r="C58" s="8" t="s">
        <v>197</v>
      </c>
      <c r="D58" s="8">
        <v>21.1442347105659</v>
      </c>
      <c r="E58" s="8">
        <v>15.8747688630316</v>
      </c>
      <c r="F58" s="8">
        <v>0</v>
      </c>
      <c r="G58" s="8">
        <v>175.753998647712</v>
      </c>
      <c r="H58" s="8">
        <v>16.5096708557963</v>
      </c>
      <c r="I58" s="8">
        <v>0</v>
      </c>
      <c r="J58" s="8">
        <v>0</v>
      </c>
      <c r="K58" s="8">
        <v>0</v>
      </c>
      <c r="L58" s="8">
        <v>4.64876908325707</v>
      </c>
      <c r="M58" s="8">
        <v>0</v>
      </c>
      <c r="N58" s="11"/>
      <c r="O58" s="11"/>
      <c r="P58" s="11"/>
      <c r="Q58" s="11"/>
    </row>
    <row r="59" spans="1:17">
      <c r="A59" s="8" t="s">
        <v>206</v>
      </c>
      <c r="B59" s="14" t="s">
        <v>198</v>
      </c>
      <c r="C59" s="8" t="s">
        <v>199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11"/>
      <c r="O59" s="11"/>
      <c r="P59" s="11"/>
      <c r="Q59" s="11"/>
    </row>
    <row r="60" spans="1:17">
      <c r="A60" s="8" t="s">
        <v>206</v>
      </c>
      <c r="B60" s="14" t="s">
        <v>36</v>
      </c>
      <c r="C60" s="8" t="s">
        <v>130</v>
      </c>
      <c r="D60" s="8">
        <v>0</v>
      </c>
      <c r="E60" s="8">
        <v>0</v>
      </c>
      <c r="F60" s="8">
        <v>0.673801438114826</v>
      </c>
      <c r="G60" s="8">
        <v>0</v>
      </c>
      <c r="H60" s="8">
        <v>0</v>
      </c>
      <c r="I60" s="8">
        <v>0</v>
      </c>
      <c r="J60" s="8">
        <v>83.6602152173086</v>
      </c>
      <c r="K60" s="8">
        <v>0</v>
      </c>
      <c r="L60" s="8">
        <v>0</v>
      </c>
      <c r="M60" s="8">
        <v>0</v>
      </c>
      <c r="N60" s="11"/>
      <c r="O60" s="11"/>
      <c r="P60" s="11"/>
      <c r="Q60" s="11"/>
    </row>
    <row r="61" spans="1:17">
      <c r="A61" s="8" t="s">
        <v>206</v>
      </c>
      <c r="B61" s="14" t="s">
        <v>200</v>
      </c>
      <c r="C61" s="8" t="s">
        <v>97</v>
      </c>
      <c r="D61" s="8">
        <v>0</v>
      </c>
      <c r="E61" s="8">
        <v>2.02591164449503</v>
      </c>
      <c r="F61" s="8">
        <v>0</v>
      </c>
      <c r="G61" s="8">
        <v>2.25687128649328</v>
      </c>
      <c r="H61" s="8">
        <v>4.20732037640198</v>
      </c>
      <c r="I61" s="8">
        <v>47.5462332695985</v>
      </c>
      <c r="J61" s="8">
        <v>3.44749809563846</v>
      </c>
      <c r="K61" s="8">
        <v>72.0360675055175</v>
      </c>
      <c r="L61" s="8">
        <v>24.2762769744506</v>
      </c>
      <c r="M61" s="8">
        <v>52.9304083515209</v>
      </c>
      <c r="N61" s="11"/>
      <c r="O61" s="11"/>
      <c r="P61" s="11"/>
      <c r="Q61" s="11"/>
    </row>
    <row r="62" spans="1:17">
      <c r="A62" s="8" t="s">
        <v>206</v>
      </c>
      <c r="B62" s="14" t="s">
        <v>200</v>
      </c>
      <c r="C62" s="8" t="s">
        <v>98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11"/>
      <c r="O62" s="11"/>
      <c r="P62" s="11"/>
      <c r="Q62" s="11"/>
    </row>
    <row r="63" spans="1:17">
      <c r="A63" s="8" t="s">
        <v>206</v>
      </c>
      <c r="B63" s="14" t="s">
        <v>200</v>
      </c>
      <c r="C63" s="8" t="s">
        <v>95</v>
      </c>
      <c r="D63" s="8">
        <v>0</v>
      </c>
      <c r="E63" s="8">
        <v>7.85015826955738</v>
      </c>
      <c r="F63" s="8">
        <v>16.7790284873814</v>
      </c>
      <c r="G63" s="8">
        <v>9.74061415317808</v>
      </c>
      <c r="H63" s="8">
        <v>245.958306408258</v>
      </c>
      <c r="I63" s="8">
        <v>16.4841928203189</v>
      </c>
      <c r="J63" s="8">
        <v>12.7647217958844</v>
      </c>
      <c r="K63" s="8">
        <v>34.2638410361065</v>
      </c>
      <c r="L63" s="8">
        <v>20.6242705299459</v>
      </c>
      <c r="M63" s="8">
        <v>83.9877376841576</v>
      </c>
      <c r="N63" s="11"/>
      <c r="O63" s="11"/>
      <c r="P63" s="11"/>
      <c r="Q63" s="11"/>
    </row>
    <row r="64" spans="1:17">
      <c r="A64" s="8" t="s">
        <v>206</v>
      </c>
      <c r="B64" s="14" t="s">
        <v>200</v>
      </c>
      <c r="C64" s="8" t="s">
        <v>93</v>
      </c>
      <c r="D64" s="8">
        <v>0</v>
      </c>
      <c r="E64" s="8">
        <v>4.76141191871502</v>
      </c>
      <c r="F64" s="8">
        <v>0</v>
      </c>
      <c r="G64" s="8">
        <v>2.64727513056614</v>
      </c>
      <c r="H64" s="8">
        <v>0</v>
      </c>
      <c r="I64" s="8">
        <v>0</v>
      </c>
      <c r="J64" s="8">
        <v>2.89581371830017</v>
      </c>
      <c r="K64" s="8">
        <v>7.83929523588733</v>
      </c>
      <c r="L64" s="8">
        <v>28.3308858600505</v>
      </c>
      <c r="M64" s="8">
        <v>18.8069881937323</v>
      </c>
      <c r="N64" s="11"/>
      <c r="O64" s="11"/>
      <c r="P64" s="11"/>
      <c r="Q64" s="11"/>
    </row>
    <row r="65" spans="1:17">
      <c r="A65" s="8" t="s">
        <v>206</v>
      </c>
      <c r="B65" s="14" t="s">
        <v>200</v>
      </c>
      <c r="C65" s="8" t="s">
        <v>96</v>
      </c>
      <c r="D65" s="8">
        <v>0</v>
      </c>
      <c r="E65" s="8">
        <v>6.87039162116168</v>
      </c>
      <c r="F65" s="8">
        <v>0</v>
      </c>
      <c r="G65" s="8">
        <v>6.37831897958866</v>
      </c>
      <c r="H65" s="8">
        <v>0</v>
      </c>
      <c r="I65" s="8">
        <v>89.3141015478488</v>
      </c>
      <c r="J65" s="8">
        <v>1.4224611184895</v>
      </c>
      <c r="K65" s="8">
        <v>37.5737090348767</v>
      </c>
      <c r="L65" s="8">
        <v>12.2752770712209</v>
      </c>
      <c r="M65" s="8">
        <v>27.5544024203017</v>
      </c>
      <c r="N65" s="11"/>
      <c r="O65" s="11"/>
      <c r="P65" s="11"/>
      <c r="Q65" s="11"/>
    </row>
    <row r="66" spans="1:17">
      <c r="A66" s="8" t="s">
        <v>206</v>
      </c>
      <c r="B66" s="14" t="s">
        <v>200</v>
      </c>
      <c r="C66" s="8" t="s">
        <v>94</v>
      </c>
      <c r="D66" s="8">
        <v>0</v>
      </c>
      <c r="E66" s="8">
        <v>7.68666123125105</v>
      </c>
      <c r="F66" s="8">
        <v>5.84836711715804</v>
      </c>
      <c r="G66" s="8">
        <v>8.18922330209699</v>
      </c>
      <c r="H66" s="8">
        <v>0</v>
      </c>
      <c r="I66" s="8">
        <v>41.3732587569632</v>
      </c>
      <c r="J66" s="8">
        <v>0</v>
      </c>
      <c r="K66" s="8">
        <v>61.9363468517528</v>
      </c>
      <c r="L66" s="8">
        <v>52.2296637338228</v>
      </c>
      <c r="M66" s="8">
        <v>27.4251563589432</v>
      </c>
      <c r="N66" s="11"/>
      <c r="O66" s="11"/>
      <c r="P66" s="11"/>
      <c r="Q66" s="11"/>
    </row>
    <row r="67" spans="1:17">
      <c r="A67" s="8" t="s">
        <v>206</v>
      </c>
      <c r="B67" s="14" t="s">
        <v>201</v>
      </c>
      <c r="C67" s="8" t="s">
        <v>202</v>
      </c>
      <c r="D67" s="8">
        <v>0</v>
      </c>
      <c r="E67" s="8">
        <v>8.69234300567604</v>
      </c>
      <c r="F67" s="8">
        <v>1.16967343462767</v>
      </c>
      <c r="G67" s="8">
        <v>8.21626426819704</v>
      </c>
      <c r="H67" s="8">
        <v>36.8052343240577</v>
      </c>
      <c r="I67" s="8">
        <v>28.2989935917326</v>
      </c>
      <c r="J67" s="8">
        <v>103.905081385868</v>
      </c>
      <c r="K67" s="8">
        <v>79.8374127044639</v>
      </c>
      <c r="L67" s="8">
        <v>75.1469337692682</v>
      </c>
      <c r="M67" s="8">
        <v>106.709668402074</v>
      </c>
      <c r="N67" s="11"/>
      <c r="O67" s="11"/>
      <c r="P67" s="11"/>
      <c r="Q67" s="11"/>
    </row>
    <row r="68" spans="1:17">
      <c r="A68" s="11"/>
      <c r="B68" s="11"/>
      <c r="C68" s="11"/>
      <c r="D68" s="2" t="s">
        <v>185</v>
      </c>
      <c r="E68" s="3"/>
      <c r="F68" s="3"/>
      <c r="G68" s="3"/>
      <c r="H68" s="4"/>
      <c r="I68" s="5" t="s">
        <v>186</v>
      </c>
      <c r="J68" s="6"/>
      <c r="K68" s="6"/>
      <c r="L68" s="6"/>
      <c r="M68" s="7"/>
      <c r="N68" s="8" t="s">
        <v>203</v>
      </c>
      <c r="O68" s="8" t="s">
        <v>203</v>
      </c>
      <c r="P68" s="8" t="s">
        <v>248</v>
      </c>
      <c r="Q68" s="8" t="s">
        <v>248</v>
      </c>
    </row>
    <row r="69" spans="1:17">
      <c r="A69" s="11"/>
      <c r="B69" s="8" t="s">
        <v>206</v>
      </c>
      <c r="C69" s="8" t="s">
        <v>37</v>
      </c>
      <c r="D69" s="8">
        <f t="shared" ref="D69:M69" si="20">SUM(D53:D59)</f>
        <v>230.196980796713</v>
      </c>
      <c r="E69" s="8">
        <f t="shared" si="20"/>
        <v>25.1879636190258</v>
      </c>
      <c r="F69" s="8">
        <f t="shared" si="20"/>
        <v>0</v>
      </c>
      <c r="G69" s="8">
        <f t="shared" si="20"/>
        <v>315.346406901146</v>
      </c>
      <c r="H69" s="8">
        <f t="shared" si="20"/>
        <v>16.5096708557963</v>
      </c>
      <c r="I69" s="8">
        <f t="shared" si="20"/>
        <v>0</v>
      </c>
      <c r="J69" s="8">
        <f t="shared" si="20"/>
        <v>0</v>
      </c>
      <c r="K69" s="8">
        <f t="shared" si="20"/>
        <v>0</v>
      </c>
      <c r="L69" s="8">
        <f t="shared" si="20"/>
        <v>21.3415633227078</v>
      </c>
      <c r="M69" s="8">
        <f t="shared" si="20"/>
        <v>7.162222593889</v>
      </c>
      <c r="N69" s="8">
        <f t="shared" ref="N69:N71" si="21">AVERAGE(D69:H69)</f>
        <v>117.448204434536</v>
      </c>
      <c r="O69" s="8">
        <f t="shared" ref="O69:O71" si="22">AVERAGE(I69:M69)</f>
        <v>5.70075718331935</v>
      </c>
      <c r="P69" s="8">
        <f t="shared" ref="P69:P71" si="23">LOG(N69+1,2)</f>
        <v>6.88811251859327</v>
      </c>
      <c r="Q69" s="8">
        <f t="shared" ref="Q69:Q71" si="24">LOG(O69+1,2)</f>
        <v>2.74432412883877</v>
      </c>
    </row>
    <row r="70" spans="1:17">
      <c r="A70" s="11"/>
      <c r="B70" s="8" t="s">
        <v>206</v>
      </c>
      <c r="C70" s="8" t="s">
        <v>36</v>
      </c>
      <c r="D70" s="8">
        <f t="shared" ref="D70:M70" si="25">D60</f>
        <v>0</v>
      </c>
      <c r="E70" s="8">
        <f t="shared" si="25"/>
        <v>0</v>
      </c>
      <c r="F70" s="8">
        <f t="shared" si="25"/>
        <v>0.673801438114826</v>
      </c>
      <c r="G70" s="8">
        <f t="shared" si="25"/>
        <v>0</v>
      </c>
      <c r="H70" s="8">
        <f t="shared" si="25"/>
        <v>0</v>
      </c>
      <c r="I70" s="8">
        <f t="shared" si="25"/>
        <v>0</v>
      </c>
      <c r="J70" s="8">
        <f t="shared" si="25"/>
        <v>83.6602152173086</v>
      </c>
      <c r="K70" s="8">
        <f t="shared" si="25"/>
        <v>0</v>
      </c>
      <c r="L70" s="8">
        <f t="shared" si="25"/>
        <v>0</v>
      </c>
      <c r="M70" s="8">
        <f t="shared" si="25"/>
        <v>0</v>
      </c>
      <c r="N70" s="8">
        <f t="shared" si="21"/>
        <v>0.134760287622965</v>
      </c>
      <c r="O70" s="8">
        <f t="shared" si="22"/>
        <v>16.7320430434617</v>
      </c>
      <c r="P70" s="8">
        <f t="shared" si="23"/>
        <v>0.182387567663651</v>
      </c>
      <c r="Q70" s="8">
        <f t="shared" si="24"/>
        <v>4.14828686456236</v>
      </c>
    </row>
    <row r="71" spans="1:17">
      <c r="A71" s="11"/>
      <c r="B71" s="8" t="s">
        <v>206</v>
      </c>
      <c r="C71" s="8" t="s">
        <v>35</v>
      </c>
      <c r="D71" s="8">
        <f t="shared" ref="D71:M71" si="26">SUM(D61:D67)</f>
        <v>0</v>
      </c>
      <c r="E71" s="8">
        <f t="shared" si="26"/>
        <v>37.8868776908562</v>
      </c>
      <c r="F71" s="8">
        <f t="shared" si="26"/>
        <v>23.7970690391671</v>
      </c>
      <c r="G71" s="8">
        <f t="shared" si="26"/>
        <v>37.4285671201202</v>
      </c>
      <c r="H71" s="8">
        <f t="shared" si="26"/>
        <v>286.970861108718</v>
      </c>
      <c r="I71" s="8">
        <f t="shared" si="26"/>
        <v>223.016779986462</v>
      </c>
      <c r="J71" s="8">
        <f t="shared" si="26"/>
        <v>124.43557611418</v>
      </c>
      <c r="K71" s="8">
        <f t="shared" si="26"/>
        <v>293.486672368605</v>
      </c>
      <c r="L71" s="8">
        <f t="shared" si="26"/>
        <v>212.883307938759</v>
      </c>
      <c r="M71" s="8">
        <f t="shared" si="26"/>
        <v>317.41436141073</v>
      </c>
      <c r="N71" s="8">
        <f t="shared" si="21"/>
        <v>77.2166749917723</v>
      </c>
      <c r="O71" s="8">
        <f t="shared" si="22"/>
        <v>234.247339563747</v>
      </c>
      <c r="P71" s="8">
        <f t="shared" si="23"/>
        <v>6.2894043029751</v>
      </c>
      <c r="Q71" s="8">
        <f t="shared" si="24"/>
        <v>7.87803459723484</v>
      </c>
    </row>
    <row r="72" spans="1:17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8" t="s">
        <v>249</v>
      </c>
      <c r="O72" s="8" t="s">
        <v>250</v>
      </c>
      <c r="P72" s="11"/>
      <c r="Q72" s="11"/>
    </row>
    <row r="73" spans="1:17">
      <c r="A73" s="11"/>
      <c r="B73" s="8" t="s">
        <v>206</v>
      </c>
      <c r="C73" s="8" t="s">
        <v>37</v>
      </c>
      <c r="D73" s="8">
        <f t="shared" ref="D73:M73" si="27">LOG(D69+1,2)</f>
        <v>7.85297874756985</v>
      </c>
      <c r="E73" s="8">
        <f t="shared" si="27"/>
        <v>4.71083197469978</v>
      </c>
      <c r="F73" s="8">
        <f t="shared" si="27"/>
        <v>0</v>
      </c>
      <c r="G73" s="8">
        <f t="shared" si="27"/>
        <v>8.30536139942443</v>
      </c>
      <c r="H73" s="8">
        <f t="shared" si="27"/>
        <v>4.13008005934567</v>
      </c>
      <c r="I73" s="8">
        <f t="shared" si="27"/>
        <v>0</v>
      </c>
      <c r="J73" s="8">
        <f t="shared" si="27"/>
        <v>0</v>
      </c>
      <c r="K73" s="8">
        <f t="shared" si="27"/>
        <v>0</v>
      </c>
      <c r="L73" s="8">
        <f t="shared" si="27"/>
        <v>4.48165823500611</v>
      </c>
      <c r="M73" s="15">
        <f t="shared" si="27"/>
        <v>3.02896205520774</v>
      </c>
      <c r="N73" s="8"/>
      <c r="O73" s="8"/>
      <c r="P73" s="11"/>
      <c r="Q73" s="11"/>
    </row>
    <row r="74" spans="1:17">
      <c r="A74" s="11"/>
      <c r="B74" s="8" t="s">
        <v>206</v>
      </c>
      <c r="C74" s="8" t="s">
        <v>36</v>
      </c>
      <c r="D74" s="8">
        <f t="shared" ref="D74:M74" si="28">LOG(D70+1,2)</f>
        <v>0</v>
      </c>
      <c r="E74" s="8">
        <f t="shared" si="28"/>
        <v>0</v>
      </c>
      <c r="F74" s="8">
        <f t="shared" si="28"/>
        <v>0.743128392142794</v>
      </c>
      <c r="G74" s="8">
        <f t="shared" si="28"/>
        <v>0</v>
      </c>
      <c r="H74" s="8">
        <f t="shared" si="28"/>
        <v>0</v>
      </c>
      <c r="I74" s="8">
        <f t="shared" si="28"/>
        <v>0</v>
      </c>
      <c r="J74" s="8">
        <f t="shared" si="28"/>
        <v>6.40361225106731</v>
      </c>
      <c r="K74" s="8">
        <f t="shared" si="28"/>
        <v>0</v>
      </c>
      <c r="L74" s="8">
        <f t="shared" si="28"/>
        <v>0</v>
      </c>
      <c r="M74" s="15">
        <f t="shared" si="28"/>
        <v>0</v>
      </c>
      <c r="N74" s="8"/>
      <c r="O74" s="8"/>
      <c r="P74" s="11"/>
      <c r="Q74" s="11"/>
    </row>
    <row r="75" spans="1:17">
      <c r="A75" s="11"/>
      <c r="B75" s="8" t="s">
        <v>206</v>
      </c>
      <c r="C75" s="8" t="s">
        <v>35</v>
      </c>
      <c r="D75" s="8">
        <f t="shared" ref="D75:M75" si="29">LOG(D71+1,2)</f>
        <v>0</v>
      </c>
      <c r="E75" s="8">
        <f t="shared" si="29"/>
        <v>5.28121149729249</v>
      </c>
      <c r="F75" s="8">
        <f t="shared" si="29"/>
        <v>4.63209770209033</v>
      </c>
      <c r="G75" s="8">
        <f t="shared" si="29"/>
        <v>5.26410727875006</v>
      </c>
      <c r="H75" s="8">
        <f t="shared" si="29"/>
        <v>8.16977902692581</v>
      </c>
      <c r="I75" s="8">
        <f t="shared" si="29"/>
        <v>7.8074629912387</v>
      </c>
      <c r="J75" s="8">
        <f t="shared" si="29"/>
        <v>6.97080277399387</v>
      </c>
      <c r="K75" s="8">
        <f t="shared" si="29"/>
        <v>8.20205853302296</v>
      </c>
      <c r="L75" s="8">
        <f t="shared" si="29"/>
        <v>7.7406800846496</v>
      </c>
      <c r="M75" s="15">
        <f t="shared" si="29"/>
        <v>8.31476159685222</v>
      </c>
      <c r="N75" s="8">
        <v>0.047277</v>
      </c>
      <c r="O75" s="8" t="s">
        <v>251</v>
      </c>
      <c r="P75" s="11"/>
      <c r="Q75" s="11"/>
    </row>
    <row r="76" spans="1:1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>
      <c r="A78" s="8" t="s">
        <v>208</v>
      </c>
      <c r="B78" s="8" t="s">
        <v>188</v>
      </c>
      <c r="C78" s="8" t="s">
        <v>189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11"/>
      <c r="O78" s="11"/>
      <c r="P78" s="11"/>
      <c r="Q78" s="11"/>
    </row>
    <row r="79" spans="1:17">
      <c r="A79" s="8" t="s">
        <v>208</v>
      </c>
      <c r="B79" s="8" t="s">
        <v>190</v>
      </c>
      <c r="C79" s="8" t="s">
        <v>191</v>
      </c>
      <c r="D79" s="8">
        <v>0</v>
      </c>
      <c r="E79" s="8">
        <v>0</v>
      </c>
      <c r="F79" s="8">
        <v>0</v>
      </c>
      <c r="G79" s="8">
        <v>2.08272440684181</v>
      </c>
      <c r="H79" s="8">
        <v>0</v>
      </c>
      <c r="I79" s="8">
        <v>0</v>
      </c>
      <c r="J79" s="8">
        <v>0</v>
      </c>
      <c r="K79" s="8">
        <v>0</v>
      </c>
      <c r="L79" s="8">
        <v>0.714936061878109</v>
      </c>
      <c r="M79" s="8">
        <v>0</v>
      </c>
      <c r="N79" s="11"/>
      <c r="O79" s="11"/>
      <c r="P79" s="11"/>
      <c r="Q79" s="11"/>
    </row>
    <row r="80" spans="1:17">
      <c r="A80" s="8" t="s">
        <v>208</v>
      </c>
      <c r="B80" s="8" t="s">
        <v>192</v>
      </c>
      <c r="C80" s="8" t="s">
        <v>193</v>
      </c>
      <c r="D80" s="8">
        <v>0</v>
      </c>
      <c r="E80" s="8">
        <v>3.40206342792857</v>
      </c>
      <c r="F80" s="8">
        <v>0</v>
      </c>
      <c r="G80" s="8">
        <v>2.53595877689213</v>
      </c>
      <c r="H80" s="8">
        <v>0</v>
      </c>
      <c r="I80" s="8">
        <v>0</v>
      </c>
      <c r="J80" s="8">
        <v>0</v>
      </c>
      <c r="K80" s="8">
        <v>0</v>
      </c>
      <c r="L80" s="8">
        <v>2.25713267442674</v>
      </c>
      <c r="M80" s="8">
        <v>0</v>
      </c>
      <c r="N80" s="11"/>
      <c r="O80" s="11"/>
      <c r="P80" s="11"/>
      <c r="Q80" s="11"/>
    </row>
    <row r="81" spans="1:17">
      <c r="A81" s="8" t="s">
        <v>208</v>
      </c>
      <c r="B81" s="8" t="s">
        <v>192</v>
      </c>
      <c r="C81" s="8" t="s">
        <v>194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11"/>
      <c r="O81" s="11"/>
      <c r="P81" s="11"/>
      <c r="Q81" s="11"/>
    </row>
    <row r="82" spans="1:17">
      <c r="A82" s="8" t="s">
        <v>208</v>
      </c>
      <c r="B82" s="8" t="s">
        <v>195</v>
      </c>
      <c r="C82" s="8" t="s">
        <v>196</v>
      </c>
      <c r="D82" s="8">
        <v>0</v>
      </c>
      <c r="E82" s="8">
        <v>0</v>
      </c>
      <c r="F82" s="8">
        <v>0</v>
      </c>
      <c r="G82" s="8">
        <v>28.6581772534521</v>
      </c>
      <c r="H82" s="8">
        <v>0</v>
      </c>
      <c r="I82" s="8">
        <v>0</v>
      </c>
      <c r="J82" s="8">
        <v>0</v>
      </c>
      <c r="K82" s="8">
        <v>0</v>
      </c>
      <c r="L82" s="8">
        <v>1.26477349142959</v>
      </c>
      <c r="M82" s="8">
        <v>0</v>
      </c>
      <c r="N82" s="11"/>
      <c r="O82" s="11"/>
      <c r="P82" s="11"/>
      <c r="Q82" s="11"/>
    </row>
    <row r="83" spans="1:17">
      <c r="A83" s="8" t="s">
        <v>208</v>
      </c>
      <c r="B83" s="8" t="s">
        <v>195</v>
      </c>
      <c r="C83" s="8" t="s">
        <v>197</v>
      </c>
      <c r="D83" s="8">
        <v>0</v>
      </c>
      <c r="E83" s="8">
        <v>0</v>
      </c>
      <c r="F83" s="8">
        <v>0</v>
      </c>
      <c r="G83" s="8">
        <v>6.37549728018186</v>
      </c>
      <c r="H83" s="8">
        <v>0</v>
      </c>
      <c r="I83" s="8">
        <v>0</v>
      </c>
      <c r="J83" s="8">
        <v>0</v>
      </c>
      <c r="K83" s="8">
        <v>0</v>
      </c>
      <c r="L83" s="8">
        <v>3.82730084571626</v>
      </c>
      <c r="M83" s="8">
        <v>0</v>
      </c>
      <c r="N83" s="11"/>
      <c r="O83" s="11"/>
      <c r="P83" s="11"/>
      <c r="Q83" s="11"/>
    </row>
    <row r="84" spans="1:17">
      <c r="A84" s="8" t="s">
        <v>208</v>
      </c>
      <c r="B84" s="8" t="s">
        <v>198</v>
      </c>
      <c r="C84" s="8" t="s">
        <v>199</v>
      </c>
      <c r="D84" s="8">
        <v>0</v>
      </c>
      <c r="E84" s="8">
        <v>0</v>
      </c>
      <c r="F84" s="8">
        <v>0</v>
      </c>
      <c r="G84" s="8">
        <v>40.1294448089696</v>
      </c>
      <c r="H84" s="8">
        <v>0</v>
      </c>
      <c r="I84" s="8">
        <v>0</v>
      </c>
      <c r="J84" s="8">
        <v>0</v>
      </c>
      <c r="K84" s="8">
        <v>0</v>
      </c>
      <c r="L84" s="8">
        <v>4.06724448868172</v>
      </c>
      <c r="M84" s="8">
        <v>0</v>
      </c>
      <c r="N84" s="11"/>
      <c r="O84" s="11"/>
      <c r="P84" s="11"/>
      <c r="Q84" s="11"/>
    </row>
    <row r="85" spans="1:17">
      <c r="A85" s="8" t="s">
        <v>208</v>
      </c>
      <c r="B85" s="8" t="s">
        <v>36</v>
      </c>
      <c r="C85" s="8" t="s">
        <v>130</v>
      </c>
      <c r="D85" s="8">
        <v>0</v>
      </c>
      <c r="E85" s="8">
        <v>0</v>
      </c>
      <c r="F85" s="8">
        <v>6.26596830046296</v>
      </c>
      <c r="G85" s="8">
        <v>0</v>
      </c>
      <c r="H85" s="8">
        <v>0</v>
      </c>
      <c r="I85" s="8">
        <v>0</v>
      </c>
      <c r="J85" s="8">
        <v>9.10392441308492</v>
      </c>
      <c r="K85" s="8">
        <v>0</v>
      </c>
      <c r="L85" s="8">
        <v>0</v>
      </c>
      <c r="M85" s="16">
        <v>0</v>
      </c>
      <c r="N85" s="11"/>
      <c r="O85" s="11"/>
      <c r="P85" s="11"/>
      <c r="Q85" s="11"/>
    </row>
    <row r="86" spans="1:17">
      <c r="A86" s="8" t="s">
        <v>208</v>
      </c>
      <c r="B86" s="8" t="s">
        <v>200</v>
      </c>
      <c r="C86" s="8" t="s">
        <v>97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17.2848039049127</v>
      </c>
      <c r="K86" s="8">
        <v>16.7063745381655</v>
      </c>
      <c r="L86" s="8">
        <v>1.83392097042328</v>
      </c>
      <c r="M86" s="8">
        <v>1.12185788845544</v>
      </c>
      <c r="N86" s="11"/>
      <c r="O86" s="11"/>
      <c r="P86" s="11"/>
      <c r="Q86" s="11"/>
    </row>
    <row r="87" spans="1:17">
      <c r="A87" s="8" t="s">
        <v>208</v>
      </c>
      <c r="B87" s="8" t="s">
        <v>200</v>
      </c>
      <c r="C87" s="8" t="s">
        <v>98</v>
      </c>
      <c r="D87" s="8">
        <v>0</v>
      </c>
      <c r="E87" s="8">
        <v>0.505568622425261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2.98511836136163</v>
      </c>
      <c r="M87" s="8">
        <v>0</v>
      </c>
      <c r="N87" s="11"/>
      <c r="O87" s="11"/>
      <c r="P87" s="11"/>
      <c r="Q87" s="11"/>
    </row>
    <row r="88" spans="1:17">
      <c r="A88" s="8" t="s">
        <v>208</v>
      </c>
      <c r="B88" s="8" t="s">
        <v>200</v>
      </c>
      <c r="C88" s="8" t="s">
        <v>95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7.02179756195044</v>
      </c>
      <c r="L88" s="8">
        <v>1.66894145735377</v>
      </c>
      <c r="M88" s="8">
        <v>0</v>
      </c>
      <c r="N88" s="11"/>
      <c r="O88" s="11"/>
      <c r="P88" s="11"/>
      <c r="Q88" s="11"/>
    </row>
    <row r="89" spans="1:17">
      <c r="A89" s="8" t="s">
        <v>208</v>
      </c>
      <c r="B89" s="8" t="s">
        <v>200</v>
      </c>
      <c r="C89" s="8" t="s">
        <v>93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4.98260654207388</v>
      </c>
      <c r="L89" s="8">
        <v>1.57193081632617</v>
      </c>
      <c r="M89" s="8">
        <v>0</v>
      </c>
      <c r="N89" s="11"/>
      <c r="O89" s="11"/>
      <c r="P89" s="11"/>
      <c r="Q89" s="11"/>
    </row>
    <row r="90" spans="1:17">
      <c r="A90" s="8" t="s">
        <v>208</v>
      </c>
      <c r="B90" s="8" t="s">
        <v>200</v>
      </c>
      <c r="C90" s="8" t="s">
        <v>96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1.06830212944826</v>
      </c>
      <c r="M90" s="8">
        <v>0</v>
      </c>
      <c r="N90" s="11"/>
      <c r="O90" s="11"/>
      <c r="P90" s="11"/>
      <c r="Q90" s="11"/>
    </row>
    <row r="91" spans="1:17">
      <c r="A91" s="8" t="s">
        <v>208</v>
      </c>
      <c r="B91" s="8" t="s">
        <v>200</v>
      </c>
      <c r="C91" s="8" t="s">
        <v>94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4.87688438280455</v>
      </c>
      <c r="L91" s="8">
        <v>0.590100827730202</v>
      </c>
      <c r="M91" s="8">
        <v>0</v>
      </c>
      <c r="N91" s="11"/>
      <c r="O91" s="11"/>
      <c r="P91" s="11"/>
      <c r="Q91" s="11"/>
    </row>
    <row r="92" spans="1:17">
      <c r="A92" s="8" t="s">
        <v>208</v>
      </c>
      <c r="B92" s="8" t="s">
        <v>201</v>
      </c>
      <c r="C92" s="8" t="s">
        <v>202</v>
      </c>
      <c r="D92" s="8"/>
      <c r="E92" s="8"/>
      <c r="F92" s="8"/>
      <c r="G92" s="8"/>
      <c r="H92" s="8"/>
      <c r="I92" s="8"/>
      <c r="J92" s="8"/>
      <c r="K92" s="8"/>
      <c r="L92" s="8"/>
      <c r="M92" s="17"/>
      <c r="N92" s="11"/>
      <c r="O92" s="11"/>
      <c r="P92" s="11"/>
      <c r="Q92" s="11"/>
    </row>
    <row r="93" spans="1:17">
      <c r="A93" s="11"/>
      <c r="B93" s="11"/>
      <c r="C93" s="11"/>
      <c r="D93" s="2" t="s">
        <v>185</v>
      </c>
      <c r="E93" s="3"/>
      <c r="F93" s="3"/>
      <c r="G93" s="3"/>
      <c r="H93" s="4"/>
      <c r="I93" s="5" t="s">
        <v>186</v>
      </c>
      <c r="J93" s="6"/>
      <c r="K93" s="6"/>
      <c r="L93" s="6"/>
      <c r="M93" s="7"/>
      <c r="N93" s="8" t="s">
        <v>203</v>
      </c>
      <c r="O93" s="8" t="s">
        <v>203</v>
      </c>
      <c r="P93" s="8" t="s">
        <v>248</v>
      </c>
      <c r="Q93" s="8" t="s">
        <v>248</v>
      </c>
    </row>
    <row r="94" spans="1:17">
      <c r="A94" s="11"/>
      <c r="B94" s="8" t="s">
        <v>208</v>
      </c>
      <c r="C94" s="8" t="s">
        <v>37</v>
      </c>
      <c r="D94" s="8">
        <f t="shared" ref="D94:M94" si="30">SUM(D78:D84)</f>
        <v>0</v>
      </c>
      <c r="E94" s="8">
        <f t="shared" si="30"/>
        <v>3.40206342792857</v>
      </c>
      <c r="F94" s="8">
        <f t="shared" si="30"/>
        <v>0</v>
      </c>
      <c r="G94" s="8">
        <f t="shared" si="30"/>
        <v>79.7818025263375</v>
      </c>
      <c r="H94" s="8">
        <f t="shared" si="30"/>
        <v>0</v>
      </c>
      <c r="I94" s="8">
        <f t="shared" si="30"/>
        <v>0</v>
      </c>
      <c r="J94" s="8">
        <f t="shared" si="30"/>
        <v>0</v>
      </c>
      <c r="K94" s="8">
        <f t="shared" si="30"/>
        <v>0</v>
      </c>
      <c r="L94" s="8">
        <f t="shared" si="30"/>
        <v>12.1313875621324</v>
      </c>
      <c r="M94" s="8">
        <f t="shared" si="30"/>
        <v>0</v>
      </c>
      <c r="N94" s="8">
        <f t="shared" ref="N94:N96" si="31">AVERAGE(D94:H94)</f>
        <v>16.6367731908532</v>
      </c>
      <c r="O94" s="8">
        <f t="shared" ref="O94:O96" si="32">AVERAGE(I94:M94)</f>
        <v>2.42627751242648</v>
      </c>
      <c r="P94" s="8">
        <f t="shared" ref="P94:P96" si="33">LOG(N94+1,2)</f>
        <v>4.14051472565848</v>
      </c>
      <c r="Q94" s="8">
        <f t="shared" ref="Q94:Q96" si="34">LOG(O94+1,2)</f>
        <v>1.7766420076937</v>
      </c>
    </row>
    <row r="95" spans="1:17">
      <c r="A95" s="11"/>
      <c r="B95" s="8" t="s">
        <v>208</v>
      </c>
      <c r="C95" s="8" t="s">
        <v>36</v>
      </c>
      <c r="D95" s="8">
        <f t="shared" ref="D95:M95" si="35">D85</f>
        <v>0</v>
      </c>
      <c r="E95" s="8">
        <f t="shared" si="35"/>
        <v>0</v>
      </c>
      <c r="F95" s="8">
        <f t="shared" si="35"/>
        <v>6.26596830046296</v>
      </c>
      <c r="G95" s="8">
        <f t="shared" si="35"/>
        <v>0</v>
      </c>
      <c r="H95" s="8">
        <f t="shared" si="35"/>
        <v>0</v>
      </c>
      <c r="I95" s="8">
        <f t="shared" si="35"/>
        <v>0</v>
      </c>
      <c r="J95" s="8">
        <f t="shared" si="35"/>
        <v>9.10392441308492</v>
      </c>
      <c r="K95" s="8">
        <f t="shared" si="35"/>
        <v>0</v>
      </c>
      <c r="L95" s="8">
        <f t="shared" si="35"/>
        <v>0</v>
      </c>
      <c r="M95" s="8">
        <f t="shared" si="35"/>
        <v>0</v>
      </c>
      <c r="N95" s="8">
        <f t="shared" si="31"/>
        <v>1.25319366009259</v>
      </c>
      <c r="O95" s="8">
        <f t="shared" si="32"/>
        <v>1.82078488261698</v>
      </c>
      <c r="P95" s="8">
        <f t="shared" si="33"/>
        <v>1.17197131732304</v>
      </c>
      <c r="Q95" s="8">
        <f t="shared" si="34"/>
        <v>1.49609664798119</v>
      </c>
    </row>
    <row r="96" spans="1:17">
      <c r="A96" s="11"/>
      <c r="B96" s="8" t="s">
        <v>208</v>
      </c>
      <c r="C96" s="8" t="s">
        <v>35</v>
      </c>
      <c r="D96" s="8">
        <f t="shared" ref="D96:M96" si="36">SUM(D86:D92)</f>
        <v>0</v>
      </c>
      <c r="E96" s="8">
        <f t="shared" si="36"/>
        <v>0.505568622425261</v>
      </c>
      <c r="F96" s="8">
        <f t="shared" si="36"/>
        <v>0</v>
      </c>
      <c r="G96" s="8">
        <f t="shared" si="36"/>
        <v>0</v>
      </c>
      <c r="H96" s="8">
        <f t="shared" si="36"/>
        <v>0</v>
      </c>
      <c r="I96" s="8">
        <f t="shared" si="36"/>
        <v>0</v>
      </c>
      <c r="J96" s="8">
        <f t="shared" si="36"/>
        <v>17.2848039049127</v>
      </c>
      <c r="K96" s="8">
        <f t="shared" si="36"/>
        <v>33.5876630249944</v>
      </c>
      <c r="L96" s="8">
        <f t="shared" si="36"/>
        <v>9.71831456264331</v>
      </c>
      <c r="M96" s="8">
        <f t="shared" si="36"/>
        <v>1.12185788845544</v>
      </c>
      <c r="N96" s="8">
        <f t="shared" si="31"/>
        <v>0.101113724485052</v>
      </c>
      <c r="O96" s="8">
        <f t="shared" si="32"/>
        <v>12.3425278762012</v>
      </c>
      <c r="P96" s="8">
        <f t="shared" si="33"/>
        <v>0.138963480053644</v>
      </c>
      <c r="Q96" s="8">
        <f t="shared" si="34"/>
        <v>3.73796012040247</v>
      </c>
    </row>
    <row r="97" spans="1:1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11"/>
      <c r="O97" s="11"/>
      <c r="P97" s="11"/>
      <c r="Q97" s="11"/>
    </row>
    <row r="98" spans="1:17">
      <c r="A98" s="11"/>
      <c r="B98" s="8" t="s">
        <v>208</v>
      </c>
      <c r="C98" s="8" t="s">
        <v>37</v>
      </c>
      <c r="D98" s="8">
        <f t="shared" ref="D98:M98" si="37">LOG(D94+1,2)</f>
        <v>0</v>
      </c>
      <c r="E98" s="8">
        <f t="shared" si="37"/>
        <v>2.13817993271215</v>
      </c>
      <c r="F98" s="8">
        <f t="shared" si="37"/>
        <v>0</v>
      </c>
      <c r="G98" s="8">
        <f t="shared" si="37"/>
        <v>6.33595843289166</v>
      </c>
      <c r="H98" s="8">
        <f t="shared" si="37"/>
        <v>0</v>
      </c>
      <c r="I98" s="8">
        <f t="shared" si="37"/>
        <v>0</v>
      </c>
      <c r="J98" s="8">
        <f t="shared" si="37"/>
        <v>0</v>
      </c>
      <c r="K98" s="8">
        <f t="shared" si="37"/>
        <v>0</v>
      </c>
      <c r="L98" s="15">
        <f t="shared" si="37"/>
        <v>3.7149474652872</v>
      </c>
      <c r="M98" s="8">
        <f t="shared" si="37"/>
        <v>0</v>
      </c>
      <c r="N98" s="11"/>
      <c r="O98" s="11"/>
      <c r="P98" s="11"/>
      <c r="Q98" s="11"/>
    </row>
    <row r="99" spans="1:17">
      <c r="A99" s="11"/>
      <c r="B99" s="8" t="s">
        <v>208</v>
      </c>
      <c r="C99" s="8" t="s">
        <v>36</v>
      </c>
      <c r="D99" s="8">
        <f t="shared" ref="D99:M99" si="38">LOG(D95+1,2)</f>
        <v>0</v>
      </c>
      <c r="E99" s="8">
        <f t="shared" si="38"/>
        <v>0</v>
      </c>
      <c r="F99" s="8">
        <f t="shared" si="38"/>
        <v>2.86115507166247</v>
      </c>
      <c r="G99" s="8">
        <f t="shared" si="38"/>
        <v>0</v>
      </c>
      <c r="H99" s="8">
        <f t="shared" si="38"/>
        <v>0</v>
      </c>
      <c r="I99" s="8">
        <f t="shared" si="38"/>
        <v>0</v>
      </c>
      <c r="J99" s="8">
        <f t="shared" si="38"/>
        <v>3.33684384644183</v>
      </c>
      <c r="K99" s="8">
        <f t="shared" si="38"/>
        <v>0</v>
      </c>
      <c r="L99" s="15">
        <f t="shared" si="38"/>
        <v>0</v>
      </c>
      <c r="M99" s="8">
        <f t="shared" si="38"/>
        <v>0</v>
      </c>
      <c r="N99" s="11"/>
      <c r="O99" s="11"/>
      <c r="P99" s="11"/>
      <c r="Q99" s="11"/>
    </row>
    <row r="100" spans="1:17">
      <c r="A100" s="11"/>
      <c r="B100" s="8" t="s">
        <v>208</v>
      </c>
      <c r="C100" s="8" t="s">
        <v>35</v>
      </c>
      <c r="D100" s="8">
        <f t="shared" ref="D100:M100" si="39">LOG(D96+1,2)</f>
        <v>0</v>
      </c>
      <c r="E100" s="8">
        <f t="shared" si="39"/>
        <v>0.59030846626677</v>
      </c>
      <c r="F100" s="8">
        <f t="shared" si="39"/>
        <v>0</v>
      </c>
      <c r="G100" s="8">
        <f t="shared" si="39"/>
        <v>0</v>
      </c>
      <c r="H100" s="8">
        <f t="shared" si="39"/>
        <v>0</v>
      </c>
      <c r="I100" s="8">
        <f t="shared" si="39"/>
        <v>0</v>
      </c>
      <c r="J100" s="8">
        <f t="shared" si="39"/>
        <v>4.19257324948969</v>
      </c>
      <c r="K100" s="8">
        <f t="shared" si="39"/>
        <v>5.11218563371671</v>
      </c>
      <c r="L100" s="15">
        <f t="shared" si="39"/>
        <v>3.42200615709288</v>
      </c>
      <c r="M100" s="8">
        <f t="shared" si="39"/>
        <v>1.08532803491141</v>
      </c>
      <c r="N100" s="11"/>
      <c r="O100" s="11"/>
      <c r="P100" s="11"/>
      <c r="Q100" s="11"/>
    </row>
    <row r="101" spans="1:1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>
      <c r="A103" s="8" t="s">
        <v>209</v>
      </c>
      <c r="B103" s="8" t="s">
        <v>188</v>
      </c>
      <c r="C103" s="8" t="s">
        <v>189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1"/>
      <c r="O103" s="11"/>
      <c r="P103" s="11"/>
      <c r="Q103" s="11"/>
    </row>
    <row r="104" spans="1:17">
      <c r="A104" s="8" t="s">
        <v>209</v>
      </c>
      <c r="B104" s="8" t="s">
        <v>190</v>
      </c>
      <c r="C104" s="8" t="s">
        <v>191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1"/>
      <c r="O104" s="11"/>
      <c r="P104" s="11"/>
      <c r="Q104" s="11"/>
    </row>
    <row r="105" spans="1:17">
      <c r="A105" s="8" t="s">
        <v>209</v>
      </c>
      <c r="B105" s="8" t="s">
        <v>192</v>
      </c>
      <c r="C105" s="8" t="s">
        <v>193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11"/>
      <c r="O105" s="11"/>
      <c r="P105" s="11"/>
      <c r="Q105" s="11"/>
    </row>
    <row r="106" spans="1:17">
      <c r="A106" s="8" t="s">
        <v>209</v>
      </c>
      <c r="B106" s="8" t="s">
        <v>192</v>
      </c>
      <c r="C106" s="8" t="s">
        <v>194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1"/>
      <c r="O106" s="11"/>
      <c r="P106" s="11"/>
      <c r="Q106" s="11"/>
    </row>
    <row r="107" spans="1:17">
      <c r="A107" s="8" t="s">
        <v>209</v>
      </c>
      <c r="B107" s="8" t="s">
        <v>195</v>
      </c>
      <c r="C107" s="8" t="s">
        <v>196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11"/>
      <c r="O107" s="11"/>
      <c r="P107" s="11"/>
      <c r="Q107" s="11"/>
    </row>
    <row r="108" spans="1:17">
      <c r="A108" s="8" t="s">
        <v>209</v>
      </c>
      <c r="B108" s="8" t="s">
        <v>195</v>
      </c>
      <c r="C108" s="8" t="s">
        <v>197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11"/>
      <c r="O108" s="11"/>
      <c r="P108" s="11"/>
      <c r="Q108" s="11"/>
    </row>
    <row r="109" spans="1:17">
      <c r="A109" s="8" t="s">
        <v>209</v>
      </c>
      <c r="B109" s="8" t="s">
        <v>198</v>
      </c>
      <c r="C109" s="8" t="s">
        <v>199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11"/>
      <c r="O109" s="11"/>
      <c r="P109" s="11"/>
      <c r="Q109" s="11"/>
    </row>
    <row r="110" spans="1:17">
      <c r="A110" s="8" t="s">
        <v>209</v>
      </c>
      <c r="B110" s="8" t="s">
        <v>36</v>
      </c>
      <c r="C110" s="8" t="s">
        <v>130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11"/>
      <c r="O110" s="11"/>
      <c r="P110" s="11"/>
      <c r="Q110" s="11"/>
    </row>
    <row r="111" spans="1:17">
      <c r="A111" s="8" t="s">
        <v>209</v>
      </c>
      <c r="B111" s="8" t="s">
        <v>200</v>
      </c>
      <c r="C111" s="8" t="s">
        <v>97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11"/>
      <c r="O111" s="11"/>
      <c r="P111" s="11"/>
      <c r="Q111" s="11"/>
    </row>
    <row r="112" spans="1:17">
      <c r="A112" s="8" t="s">
        <v>209</v>
      </c>
      <c r="B112" s="8" t="s">
        <v>200</v>
      </c>
      <c r="C112" s="8" t="s">
        <v>98</v>
      </c>
      <c r="D112" s="8">
        <v>0</v>
      </c>
      <c r="E112" s="8">
        <v>9.97842682941394</v>
      </c>
      <c r="F112" s="8">
        <v>0</v>
      </c>
      <c r="G112" s="8">
        <v>4.85862676494758</v>
      </c>
      <c r="H112" s="8">
        <v>0</v>
      </c>
      <c r="I112" s="8">
        <v>7.93223915462086</v>
      </c>
      <c r="J112" s="8">
        <v>89.9348047296852</v>
      </c>
      <c r="K112" s="8">
        <v>72.8226267642613</v>
      </c>
      <c r="L112" s="8">
        <v>41.6477232199196</v>
      </c>
      <c r="M112" s="8">
        <v>14.198507544684</v>
      </c>
      <c r="N112" s="11"/>
      <c r="O112" s="11"/>
      <c r="P112" s="11"/>
      <c r="Q112" s="11"/>
    </row>
    <row r="113" spans="1:17">
      <c r="A113" s="8" t="s">
        <v>209</v>
      </c>
      <c r="B113" s="8" t="s">
        <v>200</v>
      </c>
      <c r="C113" s="8" t="s">
        <v>95</v>
      </c>
      <c r="D113" s="8">
        <v>0</v>
      </c>
      <c r="E113" s="8">
        <v>3.46098750534228</v>
      </c>
      <c r="F113" s="8">
        <v>11.3179928661464</v>
      </c>
      <c r="G113" s="8">
        <v>1.7004</v>
      </c>
      <c r="H113" s="8">
        <v>0</v>
      </c>
      <c r="I113" s="8">
        <v>0</v>
      </c>
      <c r="J113" s="8">
        <v>53.9606124795739</v>
      </c>
      <c r="K113" s="8">
        <v>7.46979992928072</v>
      </c>
      <c r="L113" s="8">
        <v>1.63881870344272</v>
      </c>
      <c r="M113" s="8">
        <v>3.0245150993356</v>
      </c>
      <c r="N113" s="11"/>
      <c r="O113" s="11"/>
      <c r="P113" s="11"/>
      <c r="Q113" s="11"/>
    </row>
    <row r="114" spans="1:17">
      <c r="A114" s="8" t="s">
        <v>209</v>
      </c>
      <c r="B114" s="8" t="s">
        <v>200</v>
      </c>
      <c r="C114" s="8" t="s">
        <v>93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11"/>
      <c r="O114" s="11"/>
      <c r="P114" s="11"/>
      <c r="Q114" s="11"/>
    </row>
    <row r="115" spans="1:17">
      <c r="A115" s="8" t="s">
        <v>209</v>
      </c>
      <c r="B115" s="8" t="s">
        <v>200</v>
      </c>
      <c r="C115" s="8" t="s">
        <v>96</v>
      </c>
      <c r="D115" s="8">
        <v>0</v>
      </c>
      <c r="E115" s="8">
        <v>1.91292156178894</v>
      </c>
      <c r="F115" s="8">
        <v>14.6209014023961</v>
      </c>
      <c r="G115" s="8">
        <v>4.12206733129817</v>
      </c>
      <c r="H115" s="8">
        <v>0</v>
      </c>
      <c r="I115" s="8">
        <v>3.79151288156034</v>
      </c>
      <c r="J115" s="8">
        <v>43.8304867802147</v>
      </c>
      <c r="K115" s="8">
        <v>4.10994157780774</v>
      </c>
      <c r="L115" s="8">
        <v>2.56492199961097</v>
      </c>
      <c r="M115" s="8">
        <v>9.46567852348083</v>
      </c>
      <c r="N115" s="11"/>
      <c r="O115" s="11"/>
      <c r="P115" s="11"/>
      <c r="Q115" s="11"/>
    </row>
    <row r="116" spans="1:17">
      <c r="A116" s="8" t="s">
        <v>209</v>
      </c>
      <c r="B116" s="8" t="s">
        <v>200</v>
      </c>
      <c r="C116" s="8" t="s">
        <v>94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11"/>
      <c r="O116" s="11"/>
      <c r="P116" s="11"/>
      <c r="Q116" s="11"/>
    </row>
    <row r="117" spans="1:17">
      <c r="A117" s="8" t="s">
        <v>209</v>
      </c>
      <c r="B117" s="8" t="s">
        <v>201</v>
      </c>
      <c r="C117" s="8" t="s">
        <v>202</v>
      </c>
      <c r="D117" s="8">
        <v>0</v>
      </c>
      <c r="E117" s="8">
        <v>0</v>
      </c>
      <c r="F117" s="8">
        <v>0</v>
      </c>
      <c r="G117" s="8">
        <v>4.13440184023698</v>
      </c>
      <c r="H117" s="8">
        <v>2.52970182691641</v>
      </c>
      <c r="I117" s="8">
        <v>2.82233175533254</v>
      </c>
      <c r="J117" s="8">
        <v>56.7750955999328</v>
      </c>
      <c r="K117" s="8">
        <v>14.4494899410376</v>
      </c>
      <c r="L117" s="8">
        <v>8.24268647694192</v>
      </c>
      <c r="M117" s="8">
        <v>28.8849624744209</v>
      </c>
      <c r="N117" s="11"/>
      <c r="O117" s="11"/>
      <c r="P117" s="11"/>
      <c r="Q117" s="11"/>
    </row>
    <row r="118" spans="1:17">
      <c r="A118" s="11"/>
      <c r="B118" s="11"/>
      <c r="C118" s="11"/>
      <c r="D118" s="2" t="s">
        <v>185</v>
      </c>
      <c r="E118" s="3"/>
      <c r="F118" s="3"/>
      <c r="G118" s="3"/>
      <c r="H118" s="4"/>
      <c r="I118" s="5" t="s">
        <v>186</v>
      </c>
      <c r="J118" s="6"/>
      <c r="K118" s="6"/>
      <c r="L118" s="6"/>
      <c r="M118" s="7"/>
      <c r="N118" s="8" t="s">
        <v>203</v>
      </c>
      <c r="O118" s="8" t="s">
        <v>203</v>
      </c>
      <c r="P118" s="8" t="s">
        <v>248</v>
      </c>
      <c r="Q118" s="8" t="s">
        <v>248</v>
      </c>
    </row>
    <row r="119" spans="1:17">
      <c r="A119" s="11"/>
      <c r="B119" s="8" t="s">
        <v>209</v>
      </c>
      <c r="C119" s="8" t="s">
        <v>37</v>
      </c>
      <c r="D119" s="8">
        <f t="shared" ref="D119:M119" si="40">SUM(D103:D109)</f>
        <v>0</v>
      </c>
      <c r="E119" s="8">
        <f t="shared" si="40"/>
        <v>0</v>
      </c>
      <c r="F119" s="8">
        <f t="shared" si="40"/>
        <v>0</v>
      </c>
      <c r="G119" s="8">
        <f t="shared" si="40"/>
        <v>0</v>
      </c>
      <c r="H119" s="8">
        <f t="shared" si="40"/>
        <v>0</v>
      </c>
      <c r="I119" s="8">
        <f t="shared" si="40"/>
        <v>0</v>
      </c>
      <c r="J119" s="8">
        <f t="shared" si="40"/>
        <v>0</v>
      </c>
      <c r="K119" s="8">
        <f t="shared" si="40"/>
        <v>0</v>
      </c>
      <c r="L119" s="8">
        <f t="shared" si="40"/>
        <v>0</v>
      </c>
      <c r="M119" s="8">
        <f t="shared" si="40"/>
        <v>0</v>
      </c>
      <c r="N119" s="8">
        <f t="shared" ref="N119:N121" si="41">AVERAGE(D119:H119)</f>
        <v>0</v>
      </c>
      <c r="O119" s="8">
        <f t="shared" ref="O119:O121" si="42">AVERAGE(I119:M119)</f>
        <v>0</v>
      </c>
      <c r="P119" s="8">
        <f t="shared" ref="P119:P121" si="43">LOG(N119+1,2)</f>
        <v>0</v>
      </c>
      <c r="Q119" s="8">
        <f t="shared" ref="Q119:Q121" si="44">LOG(O119+1,2)</f>
        <v>0</v>
      </c>
    </row>
    <row r="120" spans="1:17">
      <c r="A120" s="11"/>
      <c r="B120" s="8" t="s">
        <v>209</v>
      </c>
      <c r="C120" s="8" t="s">
        <v>36</v>
      </c>
      <c r="D120" s="8">
        <f t="shared" ref="D120:M120" si="45">D110</f>
        <v>0</v>
      </c>
      <c r="E120" s="8">
        <f t="shared" si="45"/>
        <v>0</v>
      </c>
      <c r="F120" s="8">
        <f t="shared" si="45"/>
        <v>0</v>
      </c>
      <c r="G120" s="8">
        <f t="shared" si="45"/>
        <v>0</v>
      </c>
      <c r="H120" s="8">
        <f t="shared" si="45"/>
        <v>0</v>
      </c>
      <c r="I120" s="8">
        <f t="shared" si="45"/>
        <v>0</v>
      </c>
      <c r="J120" s="8">
        <f t="shared" si="45"/>
        <v>0</v>
      </c>
      <c r="K120" s="8">
        <f t="shared" si="45"/>
        <v>0</v>
      </c>
      <c r="L120" s="8">
        <f t="shared" si="45"/>
        <v>0</v>
      </c>
      <c r="M120" s="8">
        <f t="shared" si="45"/>
        <v>0</v>
      </c>
      <c r="N120" s="8">
        <f t="shared" si="41"/>
        <v>0</v>
      </c>
      <c r="O120" s="8">
        <f t="shared" si="42"/>
        <v>0</v>
      </c>
      <c r="P120" s="8">
        <f t="shared" si="43"/>
        <v>0</v>
      </c>
      <c r="Q120" s="8">
        <f t="shared" si="44"/>
        <v>0</v>
      </c>
    </row>
    <row r="121" spans="1:17">
      <c r="A121" s="11"/>
      <c r="B121" s="8" t="s">
        <v>209</v>
      </c>
      <c r="C121" s="8" t="s">
        <v>35</v>
      </c>
      <c r="D121" s="8">
        <f t="shared" ref="D121:M121" si="46">SUM(D111:D117)</f>
        <v>0</v>
      </c>
      <c r="E121" s="8">
        <f t="shared" si="46"/>
        <v>15.3523358965452</v>
      </c>
      <c r="F121" s="8">
        <f t="shared" si="46"/>
        <v>25.9388942685425</v>
      </c>
      <c r="G121" s="8">
        <f t="shared" si="46"/>
        <v>14.8154959364827</v>
      </c>
      <c r="H121" s="8">
        <f t="shared" si="46"/>
        <v>2.52970182691641</v>
      </c>
      <c r="I121" s="8">
        <f t="shared" si="46"/>
        <v>14.5460837915137</v>
      </c>
      <c r="J121" s="8">
        <f t="shared" si="46"/>
        <v>244.500999589407</v>
      </c>
      <c r="K121" s="8">
        <f t="shared" si="46"/>
        <v>98.8518582123874</v>
      </c>
      <c r="L121" s="8">
        <f t="shared" si="46"/>
        <v>54.0941503999152</v>
      </c>
      <c r="M121" s="8">
        <f t="shared" si="46"/>
        <v>55.5736636419214</v>
      </c>
      <c r="N121" s="8">
        <f t="shared" si="41"/>
        <v>11.7272855856974</v>
      </c>
      <c r="O121" s="8">
        <f t="shared" si="42"/>
        <v>93.5133511270289</v>
      </c>
      <c r="P121" s="8">
        <f t="shared" si="43"/>
        <v>3.66985285586865</v>
      </c>
      <c r="Q121" s="8">
        <f t="shared" si="44"/>
        <v>6.56244623632929</v>
      </c>
    </row>
    <row r="122" spans="1:1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8" t="s">
        <v>249</v>
      </c>
      <c r="O122" s="8" t="s">
        <v>250</v>
      </c>
      <c r="P122" s="11"/>
      <c r="Q122" s="11"/>
    </row>
    <row r="123" spans="1:17">
      <c r="A123" s="11"/>
      <c r="B123" s="8" t="s">
        <v>209</v>
      </c>
      <c r="C123" s="8" t="s">
        <v>37</v>
      </c>
      <c r="D123" s="8">
        <f t="shared" ref="D123:M123" si="47">LOG(D119+1,2)</f>
        <v>0</v>
      </c>
      <c r="E123" s="8">
        <f t="shared" si="47"/>
        <v>0</v>
      </c>
      <c r="F123" s="8">
        <f t="shared" si="47"/>
        <v>0</v>
      </c>
      <c r="G123" s="8">
        <f t="shared" si="47"/>
        <v>0</v>
      </c>
      <c r="H123" s="8">
        <f t="shared" si="47"/>
        <v>0</v>
      </c>
      <c r="I123" s="8">
        <f t="shared" si="47"/>
        <v>0</v>
      </c>
      <c r="J123" s="8">
        <f t="shared" si="47"/>
        <v>0</v>
      </c>
      <c r="K123" s="8">
        <f t="shared" si="47"/>
        <v>0</v>
      </c>
      <c r="L123" s="8">
        <f t="shared" si="47"/>
        <v>0</v>
      </c>
      <c r="M123" s="15">
        <f t="shared" si="47"/>
        <v>0</v>
      </c>
      <c r="N123" s="8"/>
      <c r="O123" s="8"/>
      <c r="P123" s="11"/>
      <c r="Q123" s="11"/>
    </row>
    <row r="124" spans="1:17">
      <c r="A124" s="11"/>
      <c r="B124" s="8" t="s">
        <v>209</v>
      </c>
      <c r="C124" s="8" t="s">
        <v>36</v>
      </c>
      <c r="D124" s="8">
        <f t="shared" ref="D124:M124" si="48">LOG(D120+1,2)</f>
        <v>0</v>
      </c>
      <c r="E124" s="8">
        <f t="shared" si="48"/>
        <v>0</v>
      </c>
      <c r="F124" s="8">
        <f t="shared" si="48"/>
        <v>0</v>
      </c>
      <c r="G124" s="8">
        <f t="shared" si="48"/>
        <v>0</v>
      </c>
      <c r="H124" s="8">
        <f t="shared" si="48"/>
        <v>0</v>
      </c>
      <c r="I124" s="8">
        <f t="shared" si="48"/>
        <v>0</v>
      </c>
      <c r="J124" s="8">
        <f t="shared" si="48"/>
        <v>0</v>
      </c>
      <c r="K124" s="8">
        <f t="shared" si="48"/>
        <v>0</v>
      </c>
      <c r="L124" s="8">
        <f t="shared" si="48"/>
        <v>0</v>
      </c>
      <c r="M124" s="15">
        <f t="shared" si="48"/>
        <v>0</v>
      </c>
      <c r="N124" s="8"/>
      <c r="O124" s="8"/>
      <c r="P124" s="11"/>
      <c r="Q124" s="11"/>
    </row>
    <row r="125" spans="1:17">
      <c r="A125" s="11"/>
      <c r="B125" s="8" t="s">
        <v>209</v>
      </c>
      <c r="C125" s="8" t="s">
        <v>35</v>
      </c>
      <c r="D125" s="8">
        <f t="shared" ref="D125:M125" si="49">LOG(D121+1,2)</f>
        <v>0</v>
      </c>
      <c r="E125" s="8">
        <f t="shared" si="49"/>
        <v>4.03142483126225</v>
      </c>
      <c r="F125" s="8">
        <f t="shared" si="49"/>
        <v>4.75161873017055</v>
      </c>
      <c r="G125" s="8">
        <f t="shared" si="49"/>
        <v>3.98326689095046</v>
      </c>
      <c r="H125" s="8">
        <f t="shared" si="49"/>
        <v>1.81954631635821</v>
      </c>
      <c r="I125" s="8">
        <f t="shared" si="49"/>
        <v>3.95847929221212</v>
      </c>
      <c r="J125" s="8">
        <f t="shared" si="49"/>
        <v>7.93958508844807</v>
      </c>
      <c r="K125" s="8">
        <f t="shared" si="49"/>
        <v>6.64171737091766</v>
      </c>
      <c r="L125" s="8">
        <f t="shared" si="49"/>
        <v>5.78382724422769</v>
      </c>
      <c r="M125" s="15">
        <f t="shared" si="49"/>
        <v>5.82205869607739</v>
      </c>
      <c r="N125" s="8">
        <v>0.021535</v>
      </c>
      <c r="O125" s="8" t="s">
        <v>251</v>
      </c>
      <c r="P125" s="11"/>
      <c r="Q125" s="11"/>
    </row>
    <row r="126" spans="1:1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>
      <c r="A128" s="8" t="s">
        <v>210</v>
      </c>
      <c r="B128" s="8" t="s">
        <v>188</v>
      </c>
      <c r="C128" s="8" t="s">
        <v>189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11"/>
      <c r="O128" s="11"/>
      <c r="P128" s="11"/>
      <c r="Q128" s="11"/>
    </row>
    <row r="129" spans="1:17">
      <c r="A129" s="8" t="s">
        <v>210</v>
      </c>
      <c r="B129" s="8" t="s">
        <v>190</v>
      </c>
      <c r="C129" s="8" t="s">
        <v>191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11"/>
      <c r="O129" s="11"/>
      <c r="P129" s="11"/>
      <c r="Q129" s="11"/>
    </row>
    <row r="130" spans="1:17">
      <c r="A130" s="8" t="s">
        <v>210</v>
      </c>
      <c r="B130" s="8" t="s">
        <v>192</v>
      </c>
      <c r="C130" s="8" t="s">
        <v>193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11"/>
      <c r="O130" s="11"/>
      <c r="P130" s="11"/>
      <c r="Q130" s="11"/>
    </row>
    <row r="131" spans="1:17">
      <c r="A131" s="8" t="s">
        <v>210</v>
      </c>
      <c r="B131" s="8" t="s">
        <v>192</v>
      </c>
      <c r="C131" s="8" t="s">
        <v>194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11"/>
      <c r="O131" s="11"/>
      <c r="P131" s="11"/>
      <c r="Q131" s="11"/>
    </row>
    <row r="132" spans="1:17">
      <c r="A132" s="8" t="s">
        <v>210</v>
      </c>
      <c r="B132" s="8" t="s">
        <v>195</v>
      </c>
      <c r="C132" s="8" t="s">
        <v>196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11"/>
      <c r="O132" s="11"/>
      <c r="P132" s="11"/>
      <c r="Q132" s="11"/>
    </row>
    <row r="133" spans="1:17">
      <c r="A133" s="8" t="s">
        <v>210</v>
      </c>
      <c r="B133" s="8" t="s">
        <v>195</v>
      </c>
      <c r="C133" s="8" t="s">
        <v>197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11"/>
      <c r="O133" s="11"/>
      <c r="P133" s="11"/>
      <c r="Q133" s="11"/>
    </row>
    <row r="134" spans="1:17">
      <c r="A134" s="8" t="s">
        <v>210</v>
      </c>
      <c r="B134" s="8" t="s">
        <v>198</v>
      </c>
      <c r="C134" s="8" t="s">
        <v>199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11"/>
      <c r="O134" s="11"/>
      <c r="P134" s="11"/>
      <c r="Q134" s="11"/>
    </row>
    <row r="135" spans="1:17">
      <c r="A135" s="8" t="s">
        <v>210</v>
      </c>
      <c r="B135" s="8" t="s">
        <v>36</v>
      </c>
      <c r="C135" s="8" t="s">
        <v>130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11"/>
      <c r="O135" s="11"/>
      <c r="P135" s="11"/>
      <c r="Q135" s="11"/>
    </row>
    <row r="136" spans="1:17">
      <c r="A136" s="8" t="s">
        <v>210</v>
      </c>
      <c r="B136" s="8" t="s">
        <v>200</v>
      </c>
      <c r="C136" s="8" t="s">
        <v>97</v>
      </c>
      <c r="D136" s="8">
        <v>0</v>
      </c>
      <c r="E136" s="8">
        <v>1.37319524451526</v>
      </c>
      <c r="F136" s="8">
        <v>0</v>
      </c>
      <c r="G136" s="8">
        <v>6.4527</v>
      </c>
      <c r="H136" s="8">
        <v>0</v>
      </c>
      <c r="I136" s="8">
        <v>0</v>
      </c>
      <c r="J136" s="8">
        <v>38.3723939061423</v>
      </c>
      <c r="K136" s="8">
        <v>7.76948094756735</v>
      </c>
      <c r="L136" s="8">
        <v>1.22261280949231</v>
      </c>
      <c r="M136" s="8">
        <v>0</v>
      </c>
      <c r="N136" s="11"/>
      <c r="O136" s="11"/>
      <c r="P136" s="11"/>
      <c r="Q136" s="11"/>
    </row>
    <row r="137" spans="1:17">
      <c r="A137" s="8" t="s">
        <v>210</v>
      </c>
      <c r="B137" s="8" t="s">
        <v>200</v>
      </c>
      <c r="C137" s="8" t="s">
        <v>98</v>
      </c>
      <c r="D137" s="8">
        <v>0</v>
      </c>
      <c r="E137" s="8">
        <v>1.96524577572965</v>
      </c>
      <c r="F137" s="8">
        <v>0.220693064355426</v>
      </c>
      <c r="G137" s="8">
        <v>2.42960647715594</v>
      </c>
      <c r="H137" s="8">
        <v>0</v>
      </c>
      <c r="I137" s="8">
        <v>15.0712366852799</v>
      </c>
      <c r="J137" s="8">
        <v>12.5163285874029</v>
      </c>
      <c r="K137" s="8">
        <v>20.1422214888448</v>
      </c>
      <c r="L137" s="8">
        <v>55.1593731066551</v>
      </c>
      <c r="M137" s="8">
        <v>1.81863650273981</v>
      </c>
      <c r="N137" s="11"/>
      <c r="O137" s="11"/>
      <c r="P137" s="11"/>
      <c r="Q137" s="11"/>
    </row>
    <row r="138" spans="1:17">
      <c r="A138" s="8" t="s">
        <v>210</v>
      </c>
      <c r="B138" s="8" t="s">
        <v>200</v>
      </c>
      <c r="C138" s="8" t="s">
        <v>95</v>
      </c>
      <c r="D138" s="8">
        <v>0</v>
      </c>
      <c r="E138" s="8">
        <v>1.10871375363357</v>
      </c>
      <c r="F138" s="8">
        <v>10.8124668995396</v>
      </c>
      <c r="G138" s="8">
        <v>3.67948734949345</v>
      </c>
      <c r="H138" s="8">
        <v>0</v>
      </c>
      <c r="I138" s="8">
        <v>0</v>
      </c>
      <c r="J138" s="8">
        <v>113.918701033269</v>
      </c>
      <c r="K138" s="8">
        <v>4.20101646179445</v>
      </c>
      <c r="L138" s="8">
        <v>5.54250620841741</v>
      </c>
      <c r="M138" s="8">
        <v>6.42900743384394</v>
      </c>
      <c r="N138" s="11"/>
      <c r="O138" s="11"/>
      <c r="P138" s="11"/>
      <c r="Q138" s="11"/>
    </row>
    <row r="139" spans="1:17">
      <c r="A139" s="8" t="s">
        <v>210</v>
      </c>
      <c r="B139" s="8" t="s">
        <v>200</v>
      </c>
      <c r="C139" s="8" t="s">
        <v>93</v>
      </c>
      <c r="D139" s="8">
        <v>0</v>
      </c>
      <c r="E139" s="8">
        <v>0</v>
      </c>
      <c r="F139" s="8">
        <v>0</v>
      </c>
      <c r="G139" s="8">
        <v>3.58339062708438</v>
      </c>
      <c r="H139" s="8">
        <v>0</v>
      </c>
      <c r="I139" s="8">
        <v>2.79097392940605</v>
      </c>
      <c r="J139" s="8">
        <v>215.84456164433</v>
      </c>
      <c r="K139" s="8">
        <v>14.236013852322</v>
      </c>
      <c r="L139" s="8">
        <v>16.5052572593419</v>
      </c>
      <c r="M139" s="8">
        <v>2.74419184197446</v>
      </c>
      <c r="N139" s="11"/>
      <c r="O139" s="11"/>
      <c r="P139" s="11"/>
      <c r="Q139" s="11"/>
    </row>
    <row r="140" spans="1:17">
      <c r="A140" s="8" t="s">
        <v>210</v>
      </c>
      <c r="B140" s="8" t="s">
        <v>200</v>
      </c>
      <c r="C140" s="8" t="s">
        <v>96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11"/>
      <c r="O140" s="11"/>
      <c r="P140" s="11"/>
      <c r="Q140" s="11"/>
    </row>
    <row r="141" spans="1:17">
      <c r="A141" s="8" t="s">
        <v>210</v>
      </c>
      <c r="B141" s="8" t="s">
        <v>200</v>
      </c>
      <c r="C141" s="8" t="s">
        <v>94</v>
      </c>
      <c r="D141" s="8">
        <v>0</v>
      </c>
      <c r="E141" s="8">
        <v>2.33274746772987</v>
      </c>
      <c r="F141" s="8">
        <v>12.4356846968377</v>
      </c>
      <c r="G141" s="8">
        <v>33.6638722589933</v>
      </c>
      <c r="H141" s="8">
        <v>20.496506258888</v>
      </c>
      <c r="I141" s="8">
        <v>5.34786667087354</v>
      </c>
      <c r="J141" s="8">
        <v>58.774336178458</v>
      </c>
      <c r="K141" s="8">
        <v>5.93595285559694</v>
      </c>
      <c r="L141" s="8">
        <v>13.5035630257319</v>
      </c>
      <c r="M141" s="8">
        <v>39.4640786068745</v>
      </c>
      <c r="N141" s="11"/>
      <c r="O141" s="11"/>
      <c r="P141" s="11"/>
      <c r="Q141" s="11"/>
    </row>
    <row r="142" spans="1:17">
      <c r="A142" s="8" t="s">
        <v>210</v>
      </c>
      <c r="B142" s="8" t="s">
        <v>201</v>
      </c>
      <c r="C142" s="8" t="s">
        <v>202</v>
      </c>
      <c r="D142" s="8">
        <v>0</v>
      </c>
      <c r="E142" s="8">
        <v>0</v>
      </c>
      <c r="F142" s="8">
        <v>0</v>
      </c>
      <c r="G142" s="8">
        <v>4.09042632451643</v>
      </c>
      <c r="H142" s="8">
        <v>0</v>
      </c>
      <c r="I142" s="8">
        <v>1.25593830835656</v>
      </c>
      <c r="J142" s="8">
        <v>14.1715601065257</v>
      </c>
      <c r="K142" s="8">
        <v>1.99303883637035</v>
      </c>
      <c r="L142" s="8">
        <v>18.9831582256782</v>
      </c>
      <c r="M142" s="8">
        <v>53.0918179448326</v>
      </c>
      <c r="N142" s="11"/>
      <c r="O142" s="11"/>
      <c r="P142" s="11"/>
      <c r="Q142" s="11"/>
    </row>
    <row r="143" spans="1:17">
      <c r="A143" s="11"/>
      <c r="B143" s="11"/>
      <c r="C143" s="11"/>
      <c r="D143" s="2" t="s">
        <v>185</v>
      </c>
      <c r="E143" s="3"/>
      <c r="F143" s="3"/>
      <c r="G143" s="3"/>
      <c r="H143" s="4"/>
      <c r="I143" s="5" t="s">
        <v>186</v>
      </c>
      <c r="J143" s="6"/>
      <c r="K143" s="6"/>
      <c r="L143" s="6"/>
      <c r="M143" s="7"/>
      <c r="N143" s="8" t="s">
        <v>203</v>
      </c>
      <c r="O143" s="8" t="s">
        <v>203</v>
      </c>
      <c r="P143" s="8" t="s">
        <v>248</v>
      </c>
      <c r="Q143" s="8" t="s">
        <v>248</v>
      </c>
    </row>
    <row r="144" spans="1:17">
      <c r="A144" s="11"/>
      <c r="B144" s="8" t="s">
        <v>210</v>
      </c>
      <c r="C144" s="8" t="s">
        <v>37</v>
      </c>
      <c r="D144" s="8">
        <f t="shared" ref="D144:M144" si="50">SUM(D128:D134)</f>
        <v>0</v>
      </c>
      <c r="E144" s="8">
        <f t="shared" si="50"/>
        <v>0</v>
      </c>
      <c r="F144" s="8">
        <f t="shared" si="50"/>
        <v>0</v>
      </c>
      <c r="G144" s="8">
        <f t="shared" si="50"/>
        <v>0</v>
      </c>
      <c r="H144" s="8">
        <f t="shared" si="50"/>
        <v>0</v>
      </c>
      <c r="I144" s="8">
        <f t="shared" si="50"/>
        <v>0</v>
      </c>
      <c r="J144" s="8">
        <f t="shared" si="50"/>
        <v>0</v>
      </c>
      <c r="K144" s="8">
        <f t="shared" si="50"/>
        <v>0</v>
      </c>
      <c r="L144" s="8">
        <f t="shared" si="50"/>
        <v>0</v>
      </c>
      <c r="M144" s="8">
        <f t="shared" si="50"/>
        <v>0</v>
      </c>
      <c r="N144" s="8">
        <f t="shared" ref="N144:N146" si="51">AVERAGE(D144:H144)</f>
        <v>0</v>
      </c>
      <c r="O144" s="8">
        <f t="shared" ref="O144:O146" si="52">AVERAGE(I144:M144)</f>
        <v>0</v>
      </c>
      <c r="P144" s="8">
        <f t="shared" ref="P144:P146" si="53">LOG(N144+1,2)</f>
        <v>0</v>
      </c>
      <c r="Q144" s="8">
        <f t="shared" ref="Q144:Q146" si="54">LOG(O144+1,2)</f>
        <v>0</v>
      </c>
    </row>
    <row r="145" spans="1:17">
      <c r="A145" s="11"/>
      <c r="B145" s="8" t="s">
        <v>210</v>
      </c>
      <c r="C145" s="8" t="s">
        <v>36</v>
      </c>
      <c r="D145" s="8">
        <f t="shared" ref="D145:M145" si="55">D135</f>
        <v>0</v>
      </c>
      <c r="E145" s="8">
        <f t="shared" si="55"/>
        <v>0</v>
      </c>
      <c r="F145" s="8">
        <f t="shared" si="55"/>
        <v>0</v>
      </c>
      <c r="G145" s="8">
        <f t="shared" si="55"/>
        <v>0</v>
      </c>
      <c r="H145" s="8">
        <f t="shared" si="55"/>
        <v>0</v>
      </c>
      <c r="I145" s="8">
        <f t="shared" si="55"/>
        <v>0</v>
      </c>
      <c r="J145" s="8">
        <f t="shared" si="55"/>
        <v>0</v>
      </c>
      <c r="K145" s="8">
        <f t="shared" si="55"/>
        <v>0</v>
      </c>
      <c r="L145" s="8">
        <f t="shared" si="55"/>
        <v>0</v>
      </c>
      <c r="M145" s="8">
        <f t="shared" si="55"/>
        <v>0</v>
      </c>
      <c r="N145" s="8">
        <f t="shared" si="51"/>
        <v>0</v>
      </c>
      <c r="O145" s="8">
        <f t="shared" si="52"/>
        <v>0</v>
      </c>
      <c r="P145" s="8">
        <f t="shared" si="53"/>
        <v>0</v>
      </c>
      <c r="Q145" s="8">
        <f t="shared" si="54"/>
        <v>0</v>
      </c>
    </row>
    <row r="146" spans="1:17">
      <c r="A146" s="11"/>
      <c r="B146" s="8" t="s">
        <v>210</v>
      </c>
      <c r="C146" s="8" t="s">
        <v>35</v>
      </c>
      <c r="D146" s="8">
        <f t="shared" ref="D146:M146" si="56">SUM(D136:D142)</f>
        <v>0</v>
      </c>
      <c r="E146" s="8">
        <f t="shared" si="56"/>
        <v>6.77990224160834</v>
      </c>
      <c r="F146" s="8">
        <f t="shared" si="56"/>
        <v>23.4688446607326</v>
      </c>
      <c r="G146" s="8">
        <f t="shared" si="56"/>
        <v>53.8994830372435</v>
      </c>
      <c r="H146" s="8">
        <f t="shared" si="56"/>
        <v>20.496506258888</v>
      </c>
      <c r="I146" s="8">
        <f t="shared" si="56"/>
        <v>24.4660155939161</v>
      </c>
      <c r="J146" s="8">
        <f t="shared" si="56"/>
        <v>453.597881456128</v>
      </c>
      <c r="K146" s="8">
        <f t="shared" si="56"/>
        <v>54.2777244424959</v>
      </c>
      <c r="L146" s="8">
        <f t="shared" si="56"/>
        <v>110.916470635317</v>
      </c>
      <c r="M146" s="8">
        <f t="shared" si="56"/>
        <v>103.547732330265</v>
      </c>
      <c r="N146" s="8">
        <f t="shared" si="51"/>
        <v>20.9289472396945</v>
      </c>
      <c r="O146" s="8">
        <f t="shared" si="52"/>
        <v>149.361164891624</v>
      </c>
      <c r="P146" s="8">
        <f t="shared" si="53"/>
        <v>4.45476464796003</v>
      </c>
      <c r="Q146" s="8">
        <f t="shared" si="54"/>
        <v>7.23228818728917</v>
      </c>
    </row>
    <row r="147" spans="1:1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8" t="s">
        <v>249</v>
      </c>
      <c r="O147" s="8" t="s">
        <v>250</v>
      </c>
      <c r="P147" s="11"/>
      <c r="Q147" s="11"/>
    </row>
    <row r="148" spans="1:17">
      <c r="A148" s="11"/>
      <c r="B148" s="8" t="s">
        <v>210</v>
      </c>
      <c r="C148" s="8" t="s">
        <v>37</v>
      </c>
      <c r="D148" s="8">
        <f t="shared" ref="D148:M148" si="57">LOG(D144+1,2)</f>
        <v>0</v>
      </c>
      <c r="E148" s="8">
        <f t="shared" si="57"/>
        <v>0</v>
      </c>
      <c r="F148" s="8">
        <f t="shared" si="57"/>
        <v>0</v>
      </c>
      <c r="G148" s="8">
        <f t="shared" si="57"/>
        <v>0</v>
      </c>
      <c r="H148" s="8">
        <f t="shared" si="57"/>
        <v>0</v>
      </c>
      <c r="I148" s="8">
        <f t="shared" si="57"/>
        <v>0</v>
      </c>
      <c r="J148" s="8">
        <f t="shared" si="57"/>
        <v>0</v>
      </c>
      <c r="K148" s="8">
        <f t="shared" si="57"/>
        <v>0</v>
      </c>
      <c r="L148" s="8">
        <f t="shared" si="57"/>
        <v>0</v>
      </c>
      <c r="M148" s="15">
        <f t="shared" si="57"/>
        <v>0</v>
      </c>
      <c r="N148" s="8"/>
      <c r="O148" s="8"/>
      <c r="P148" s="11"/>
      <c r="Q148" s="11"/>
    </row>
    <row r="149" spans="1:17">
      <c r="A149" s="11"/>
      <c r="B149" s="8" t="s">
        <v>210</v>
      </c>
      <c r="C149" s="8" t="s">
        <v>36</v>
      </c>
      <c r="D149" s="8">
        <f t="shared" ref="D149:M149" si="58">LOG(D145+1,2)</f>
        <v>0</v>
      </c>
      <c r="E149" s="8">
        <f t="shared" si="58"/>
        <v>0</v>
      </c>
      <c r="F149" s="8">
        <f t="shared" si="58"/>
        <v>0</v>
      </c>
      <c r="G149" s="8">
        <f t="shared" si="58"/>
        <v>0</v>
      </c>
      <c r="H149" s="8">
        <f t="shared" si="58"/>
        <v>0</v>
      </c>
      <c r="I149" s="8">
        <f t="shared" si="58"/>
        <v>0</v>
      </c>
      <c r="J149" s="8">
        <f t="shared" si="58"/>
        <v>0</v>
      </c>
      <c r="K149" s="8">
        <f t="shared" si="58"/>
        <v>0</v>
      </c>
      <c r="L149" s="8">
        <f t="shared" si="58"/>
        <v>0</v>
      </c>
      <c r="M149" s="15">
        <f t="shared" si="58"/>
        <v>0</v>
      </c>
      <c r="N149" s="8"/>
      <c r="O149" s="8"/>
      <c r="P149" s="11"/>
      <c r="Q149" s="11"/>
    </row>
    <row r="150" spans="1:17">
      <c r="A150" s="11"/>
      <c r="B150" s="8" t="s">
        <v>210</v>
      </c>
      <c r="C150" s="8" t="s">
        <v>35</v>
      </c>
      <c r="D150" s="8">
        <f t="shared" ref="D150:M150" si="59">LOG(D146+1,2)</f>
        <v>0</v>
      </c>
      <c r="E150" s="8">
        <f t="shared" si="59"/>
        <v>2.95975202713525</v>
      </c>
      <c r="F150" s="8">
        <f t="shared" si="59"/>
        <v>4.6128740785449</v>
      </c>
      <c r="G150" s="8">
        <f t="shared" si="59"/>
        <v>5.77872065899732</v>
      </c>
      <c r="H150" s="8">
        <f t="shared" si="59"/>
        <v>4.42603029830431</v>
      </c>
      <c r="I150" s="8">
        <f t="shared" si="59"/>
        <v>4.67050134847033</v>
      </c>
      <c r="J150" s="8">
        <f t="shared" si="59"/>
        <v>8.82844715061359</v>
      </c>
      <c r="K150" s="8">
        <f t="shared" si="59"/>
        <v>5.7886263219902</v>
      </c>
      <c r="L150" s="8">
        <f t="shared" si="59"/>
        <v>6.80627856170372</v>
      </c>
      <c r="M150" s="15">
        <f t="shared" si="59"/>
        <v>6.70801795958016</v>
      </c>
      <c r="N150" s="8">
        <v>0.037727</v>
      </c>
      <c r="O150" s="8" t="s">
        <v>251</v>
      </c>
      <c r="P150" s="11"/>
      <c r="Q150" s="11"/>
    </row>
    <row r="151" spans="1:1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>
      <c r="A153" s="8" t="s">
        <v>211</v>
      </c>
      <c r="B153" s="8" t="s">
        <v>188</v>
      </c>
      <c r="C153" s="8" t="s">
        <v>189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11"/>
      <c r="O153" s="11"/>
      <c r="P153" s="11"/>
      <c r="Q153" s="11"/>
    </row>
    <row r="154" spans="1:17">
      <c r="A154" s="8" t="s">
        <v>211</v>
      </c>
      <c r="B154" s="8" t="s">
        <v>190</v>
      </c>
      <c r="C154" s="8" t="s">
        <v>191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11"/>
      <c r="O154" s="11"/>
      <c r="P154" s="11"/>
      <c r="Q154" s="11"/>
    </row>
    <row r="155" spans="1:17">
      <c r="A155" s="8" t="s">
        <v>211</v>
      </c>
      <c r="B155" s="8" t="s">
        <v>192</v>
      </c>
      <c r="C155" s="8" t="s">
        <v>193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11"/>
      <c r="O155" s="11"/>
      <c r="P155" s="11"/>
      <c r="Q155" s="11"/>
    </row>
    <row r="156" spans="1:17">
      <c r="A156" s="8" t="s">
        <v>211</v>
      </c>
      <c r="B156" s="8" t="s">
        <v>192</v>
      </c>
      <c r="C156" s="8" t="s">
        <v>194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11"/>
      <c r="O156" s="11"/>
      <c r="P156" s="11"/>
      <c r="Q156" s="11"/>
    </row>
    <row r="157" spans="1:17">
      <c r="A157" s="8" t="s">
        <v>211</v>
      </c>
      <c r="B157" s="8" t="s">
        <v>195</v>
      </c>
      <c r="C157" s="8" t="s">
        <v>196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11"/>
      <c r="O157" s="11"/>
      <c r="P157" s="11"/>
      <c r="Q157" s="11"/>
    </row>
    <row r="158" spans="1:17">
      <c r="A158" s="8" t="s">
        <v>211</v>
      </c>
      <c r="B158" s="8" t="s">
        <v>195</v>
      </c>
      <c r="C158" s="8" t="s">
        <v>197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11"/>
      <c r="O158" s="11"/>
      <c r="P158" s="11"/>
      <c r="Q158" s="11"/>
    </row>
    <row r="159" spans="1:17">
      <c r="A159" s="8" t="s">
        <v>211</v>
      </c>
      <c r="B159" s="8" t="s">
        <v>198</v>
      </c>
      <c r="C159" s="8" t="s">
        <v>199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11"/>
      <c r="O159" s="11"/>
      <c r="P159" s="11"/>
      <c r="Q159" s="11"/>
    </row>
    <row r="160" spans="1:17">
      <c r="A160" s="8" t="s">
        <v>211</v>
      </c>
      <c r="B160" s="8" t="s">
        <v>36</v>
      </c>
      <c r="C160" s="8" t="s">
        <v>130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11"/>
      <c r="O160" s="11"/>
      <c r="P160" s="11"/>
      <c r="Q160" s="11"/>
    </row>
    <row r="161" spans="1:17">
      <c r="A161" s="8" t="s">
        <v>211</v>
      </c>
      <c r="B161" s="8" t="s">
        <v>200</v>
      </c>
      <c r="C161" s="8" t="s">
        <v>97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6.33819214443008</v>
      </c>
      <c r="K161" s="8">
        <v>8.17401087956338</v>
      </c>
      <c r="L161" s="8">
        <v>1.91365603745252</v>
      </c>
      <c r="M161" s="8">
        <v>0</v>
      </c>
      <c r="N161" s="11"/>
      <c r="O161" s="11"/>
      <c r="P161" s="11"/>
      <c r="Q161" s="11"/>
    </row>
    <row r="162" spans="1:17">
      <c r="A162" s="8" t="s">
        <v>211</v>
      </c>
      <c r="B162" s="8" t="s">
        <v>200</v>
      </c>
      <c r="C162" s="8" t="s">
        <v>98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11"/>
      <c r="O162" s="11"/>
      <c r="P162" s="11"/>
      <c r="Q162" s="11"/>
    </row>
    <row r="163" spans="1:17">
      <c r="A163" s="8" t="s">
        <v>211</v>
      </c>
      <c r="B163" s="8" t="s">
        <v>200</v>
      </c>
      <c r="C163" s="8" t="s">
        <v>95</v>
      </c>
      <c r="D163" s="8">
        <v>0</v>
      </c>
      <c r="E163" s="8">
        <v>0</v>
      </c>
      <c r="F163" s="8">
        <v>0</v>
      </c>
      <c r="G163" s="8">
        <v>11.0486012155787</v>
      </c>
      <c r="H163" s="8">
        <v>0</v>
      </c>
      <c r="I163" s="8">
        <v>0</v>
      </c>
      <c r="J163" s="8">
        <v>0</v>
      </c>
      <c r="K163" s="8">
        <v>13.0367118733623</v>
      </c>
      <c r="L163" s="8">
        <v>5.04633573983135</v>
      </c>
      <c r="M163" s="8">
        <v>10.2362917535874</v>
      </c>
      <c r="N163" s="11"/>
      <c r="O163" s="11"/>
      <c r="P163" s="11"/>
      <c r="Q163" s="11"/>
    </row>
    <row r="164" spans="1:17">
      <c r="A164" s="8" t="s">
        <v>211</v>
      </c>
      <c r="B164" s="8" t="s">
        <v>200</v>
      </c>
      <c r="C164" s="8" t="s">
        <v>93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11"/>
      <c r="O164" s="11"/>
      <c r="P164" s="11"/>
      <c r="Q164" s="11"/>
    </row>
    <row r="165" spans="1:17">
      <c r="A165" s="8" t="s">
        <v>211</v>
      </c>
      <c r="B165" s="8" t="s">
        <v>200</v>
      </c>
      <c r="C165" s="8" t="s">
        <v>96</v>
      </c>
      <c r="D165" s="8">
        <v>0</v>
      </c>
      <c r="E165" s="8">
        <v>0</v>
      </c>
      <c r="F165" s="8">
        <v>0</v>
      </c>
      <c r="G165" s="8">
        <v>17.1190111214168</v>
      </c>
      <c r="H165" s="8">
        <v>0</v>
      </c>
      <c r="I165" s="8">
        <v>6.6983380857296</v>
      </c>
      <c r="J165" s="8">
        <v>0</v>
      </c>
      <c r="K165" s="8">
        <v>16.4042541843794</v>
      </c>
      <c r="L165" s="8">
        <v>3.17551212766448</v>
      </c>
      <c r="M165" s="8">
        <v>16.786340701937</v>
      </c>
      <c r="N165" s="11"/>
      <c r="O165" s="11"/>
      <c r="P165" s="11"/>
      <c r="Q165" s="11"/>
    </row>
    <row r="166" spans="1:17">
      <c r="A166" s="8" t="s">
        <v>211</v>
      </c>
      <c r="B166" s="8" t="s">
        <v>200</v>
      </c>
      <c r="C166" s="8" t="s">
        <v>94</v>
      </c>
      <c r="D166" s="8">
        <v>0</v>
      </c>
      <c r="E166" s="8">
        <v>0</v>
      </c>
      <c r="F166" s="8">
        <v>0</v>
      </c>
      <c r="G166" s="8">
        <v>3.48792202677245</v>
      </c>
      <c r="H166" s="8">
        <v>0</v>
      </c>
      <c r="I166" s="8">
        <v>3.44092649083196</v>
      </c>
      <c r="J166" s="8">
        <v>0</v>
      </c>
      <c r="K166" s="8">
        <v>20.6137319911121</v>
      </c>
      <c r="L166" s="8">
        <v>2.95095288061919</v>
      </c>
      <c r="M166" s="8">
        <v>3.02861008191536</v>
      </c>
      <c r="N166" s="11"/>
      <c r="O166" s="11"/>
      <c r="P166" s="11"/>
      <c r="Q166" s="11"/>
    </row>
    <row r="167" spans="1:17">
      <c r="A167" s="8" t="s">
        <v>211</v>
      </c>
      <c r="B167" s="8" t="s">
        <v>201</v>
      </c>
      <c r="C167" s="8" t="s">
        <v>202</v>
      </c>
      <c r="D167" s="8">
        <v>0</v>
      </c>
      <c r="E167" s="8">
        <v>0</v>
      </c>
      <c r="F167" s="8">
        <v>0</v>
      </c>
      <c r="G167" s="8">
        <v>27.0410771472717</v>
      </c>
      <c r="H167" s="8">
        <v>0</v>
      </c>
      <c r="I167" s="8">
        <v>20.9323018223937</v>
      </c>
      <c r="J167" s="8">
        <v>0</v>
      </c>
      <c r="K167" s="8">
        <v>0</v>
      </c>
      <c r="L167" s="8">
        <v>40.9058814411992</v>
      </c>
      <c r="M167" s="8">
        <v>20.7339479859961</v>
      </c>
      <c r="N167" s="11"/>
      <c r="O167" s="11"/>
      <c r="P167" s="11"/>
      <c r="Q167" s="11"/>
    </row>
    <row r="168" spans="1:17">
      <c r="A168" s="11"/>
      <c r="B168" s="11"/>
      <c r="C168" s="11"/>
      <c r="D168" s="2" t="s">
        <v>185</v>
      </c>
      <c r="E168" s="3"/>
      <c r="F168" s="3"/>
      <c r="G168" s="3"/>
      <c r="H168" s="4"/>
      <c r="I168" s="5" t="s">
        <v>186</v>
      </c>
      <c r="J168" s="6"/>
      <c r="K168" s="6"/>
      <c r="L168" s="6"/>
      <c r="M168" s="7"/>
      <c r="N168" s="8" t="s">
        <v>203</v>
      </c>
      <c r="O168" s="8" t="s">
        <v>203</v>
      </c>
      <c r="P168" s="8" t="s">
        <v>248</v>
      </c>
      <c r="Q168" s="8" t="s">
        <v>248</v>
      </c>
    </row>
    <row r="169" spans="1:17">
      <c r="A169" s="11"/>
      <c r="B169" s="8" t="s">
        <v>211</v>
      </c>
      <c r="C169" s="8" t="s">
        <v>37</v>
      </c>
      <c r="D169" s="8">
        <f t="shared" ref="D169:M169" si="60">SUM(D153:D159)</f>
        <v>0</v>
      </c>
      <c r="E169" s="8">
        <f t="shared" si="60"/>
        <v>0</v>
      </c>
      <c r="F169" s="8">
        <f t="shared" si="60"/>
        <v>0</v>
      </c>
      <c r="G169" s="8">
        <f t="shared" si="60"/>
        <v>0</v>
      </c>
      <c r="H169" s="8">
        <f t="shared" si="60"/>
        <v>0</v>
      </c>
      <c r="I169" s="8">
        <f t="shared" si="60"/>
        <v>0</v>
      </c>
      <c r="J169" s="8">
        <f t="shared" si="60"/>
        <v>0</v>
      </c>
      <c r="K169" s="8">
        <f t="shared" si="60"/>
        <v>0</v>
      </c>
      <c r="L169" s="8">
        <f t="shared" si="60"/>
        <v>0</v>
      </c>
      <c r="M169" s="8">
        <f t="shared" si="60"/>
        <v>0</v>
      </c>
      <c r="N169" s="8">
        <f t="shared" ref="N169:N171" si="61">AVERAGE(D169:H169)</f>
        <v>0</v>
      </c>
      <c r="O169" s="8">
        <f t="shared" ref="O169:O171" si="62">AVERAGE(I169:M169)</f>
        <v>0</v>
      </c>
      <c r="P169" s="8">
        <f t="shared" ref="P169:P171" si="63">LOG(N169+1,2)</f>
        <v>0</v>
      </c>
      <c r="Q169" s="8">
        <f t="shared" ref="Q169:Q171" si="64">LOG(O169+1,2)</f>
        <v>0</v>
      </c>
    </row>
    <row r="170" spans="1:17">
      <c r="A170" s="11"/>
      <c r="B170" s="8" t="s">
        <v>211</v>
      </c>
      <c r="C170" s="8" t="s">
        <v>36</v>
      </c>
      <c r="D170" s="8">
        <f t="shared" ref="D170:M170" si="65">D160</f>
        <v>0</v>
      </c>
      <c r="E170" s="8">
        <f t="shared" si="65"/>
        <v>0</v>
      </c>
      <c r="F170" s="8">
        <f t="shared" si="65"/>
        <v>0</v>
      </c>
      <c r="G170" s="8">
        <f t="shared" si="65"/>
        <v>0</v>
      </c>
      <c r="H170" s="8">
        <f t="shared" si="65"/>
        <v>0</v>
      </c>
      <c r="I170" s="8">
        <f t="shared" si="65"/>
        <v>0</v>
      </c>
      <c r="J170" s="8">
        <f t="shared" si="65"/>
        <v>0</v>
      </c>
      <c r="K170" s="8">
        <f t="shared" si="65"/>
        <v>0</v>
      </c>
      <c r="L170" s="8">
        <f t="shared" si="65"/>
        <v>0</v>
      </c>
      <c r="M170" s="8">
        <f t="shared" si="65"/>
        <v>0</v>
      </c>
      <c r="N170" s="8">
        <f t="shared" si="61"/>
        <v>0</v>
      </c>
      <c r="O170" s="8">
        <f t="shared" si="62"/>
        <v>0</v>
      </c>
      <c r="P170" s="8">
        <f t="shared" si="63"/>
        <v>0</v>
      </c>
      <c r="Q170" s="8">
        <f t="shared" si="64"/>
        <v>0</v>
      </c>
    </row>
    <row r="171" spans="1:17">
      <c r="A171" s="11"/>
      <c r="B171" s="8" t="s">
        <v>211</v>
      </c>
      <c r="C171" s="8" t="s">
        <v>35</v>
      </c>
      <c r="D171" s="8">
        <f t="shared" ref="D171:M171" si="66">SUM(D161:D167)</f>
        <v>0</v>
      </c>
      <c r="E171" s="8">
        <f t="shared" si="66"/>
        <v>0</v>
      </c>
      <c r="F171" s="8">
        <f t="shared" si="66"/>
        <v>0</v>
      </c>
      <c r="G171" s="8">
        <f t="shared" si="66"/>
        <v>58.6966115110396</v>
      </c>
      <c r="H171" s="8">
        <f t="shared" si="66"/>
        <v>0</v>
      </c>
      <c r="I171" s="8">
        <f t="shared" si="66"/>
        <v>31.0715663989552</v>
      </c>
      <c r="J171" s="8">
        <f t="shared" si="66"/>
        <v>6.33819214443008</v>
      </c>
      <c r="K171" s="8">
        <f t="shared" si="66"/>
        <v>58.2287089284172</v>
      </c>
      <c r="L171" s="8">
        <f t="shared" si="66"/>
        <v>53.9923382267667</v>
      </c>
      <c r="M171" s="8">
        <f t="shared" si="66"/>
        <v>50.7851905234358</v>
      </c>
      <c r="N171" s="8">
        <f t="shared" si="61"/>
        <v>11.7393223022079</v>
      </c>
      <c r="O171" s="8">
        <f t="shared" si="62"/>
        <v>40.083199244401</v>
      </c>
      <c r="P171" s="8">
        <f t="shared" si="63"/>
        <v>3.67121662701461</v>
      </c>
      <c r="Q171" s="8">
        <f t="shared" si="64"/>
        <v>5.36047662694065</v>
      </c>
    </row>
    <row r="172" spans="1:1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8"/>
      <c r="O172" s="8"/>
      <c r="P172" s="11"/>
      <c r="Q172" s="11"/>
    </row>
    <row r="173" spans="1:17">
      <c r="A173" s="11"/>
      <c r="B173" s="8" t="s">
        <v>211</v>
      </c>
      <c r="C173" s="8" t="s">
        <v>37</v>
      </c>
      <c r="D173" s="8">
        <f t="shared" ref="D173:M173" si="67">LOG(D169+1,2)</f>
        <v>0</v>
      </c>
      <c r="E173" s="8">
        <f t="shared" si="67"/>
        <v>0</v>
      </c>
      <c r="F173" s="8">
        <f t="shared" si="67"/>
        <v>0</v>
      </c>
      <c r="G173" s="8">
        <f t="shared" si="67"/>
        <v>0</v>
      </c>
      <c r="H173" s="8">
        <f t="shared" si="67"/>
        <v>0</v>
      </c>
      <c r="I173" s="8">
        <f t="shared" si="67"/>
        <v>0</v>
      </c>
      <c r="J173" s="8">
        <f t="shared" si="67"/>
        <v>0</v>
      </c>
      <c r="K173" s="8">
        <f t="shared" si="67"/>
        <v>0</v>
      </c>
      <c r="L173" s="8">
        <f t="shared" si="67"/>
        <v>0</v>
      </c>
      <c r="M173" s="15">
        <f t="shared" si="67"/>
        <v>0</v>
      </c>
      <c r="N173" s="8"/>
      <c r="O173" s="8"/>
      <c r="P173" s="11"/>
      <c r="Q173" s="11"/>
    </row>
    <row r="174" spans="1:17">
      <c r="A174" s="11"/>
      <c r="B174" s="8" t="s">
        <v>211</v>
      </c>
      <c r="C174" s="8" t="s">
        <v>36</v>
      </c>
      <c r="D174" s="8">
        <f t="shared" ref="D174:M174" si="68">LOG(D170+1,2)</f>
        <v>0</v>
      </c>
      <c r="E174" s="8">
        <f t="shared" si="68"/>
        <v>0</v>
      </c>
      <c r="F174" s="8">
        <f t="shared" si="68"/>
        <v>0</v>
      </c>
      <c r="G174" s="8">
        <f t="shared" si="68"/>
        <v>0</v>
      </c>
      <c r="H174" s="8">
        <f t="shared" si="68"/>
        <v>0</v>
      </c>
      <c r="I174" s="8">
        <f t="shared" si="68"/>
        <v>0</v>
      </c>
      <c r="J174" s="8">
        <f t="shared" si="68"/>
        <v>0</v>
      </c>
      <c r="K174" s="8">
        <f t="shared" si="68"/>
        <v>0</v>
      </c>
      <c r="L174" s="8">
        <f t="shared" si="68"/>
        <v>0</v>
      </c>
      <c r="M174" s="15">
        <f t="shared" si="68"/>
        <v>0</v>
      </c>
      <c r="N174" s="8"/>
      <c r="O174" s="8"/>
      <c r="P174" s="11"/>
      <c r="Q174" s="11"/>
    </row>
    <row r="175" spans="1:17">
      <c r="A175" s="11"/>
      <c r="B175" s="8" t="s">
        <v>211</v>
      </c>
      <c r="C175" s="8" t="s">
        <v>35</v>
      </c>
      <c r="D175" s="8">
        <f t="shared" ref="D175:M175" si="69">LOG(D171+1,2)</f>
        <v>0</v>
      </c>
      <c r="E175" s="8">
        <f t="shared" si="69"/>
        <v>0</v>
      </c>
      <c r="F175" s="8">
        <f t="shared" si="69"/>
        <v>0</v>
      </c>
      <c r="G175" s="8">
        <f t="shared" si="69"/>
        <v>5.8995771386897</v>
      </c>
      <c r="H175" s="8">
        <f t="shared" si="69"/>
        <v>0</v>
      </c>
      <c r="I175" s="8">
        <f t="shared" si="69"/>
        <v>5.00322291267746</v>
      </c>
      <c r="J175" s="8">
        <f t="shared" si="69"/>
        <v>2.87542468084527</v>
      </c>
      <c r="K175" s="8">
        <f t="shared" si="69"/>
        <v>5.88822473339457</v>
      </c>
      <c r="L175" s="8">
        <f t="shared" si="69"/>
        <v>5.78115872493865</v>
      </c>
      <c r="M175" s="15">
        <f t="shared" si="69"/>
        <v>5.69446767130968</v>
      </c>
      <c r="N175" s="8" t="s">
        <v>253</v>
      </c>
      <c r="O175" s="8"/>
      <c r="P175" s="11"/>
      <c r="Q175" s="11"/>
    </row>
    <row r="176" spans="1:1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>
      <c r="A178" s="8" t="s">
        <v>212</v>
      </c>
      <c r="B178" s="8" t="s">
        <v>188</v>
      </c>
      <c r="C178" s="8" t="s">
        <v>189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11"/>
      <c r="O178" s="11"/>
      <c r="P178" s="11"/>
      <c r="Q178" s="11"/>
    </row>
    <row r="179" spans="1:17">
      <c r="A179" s="8" t="s">
        <v>212</v>
      </c>
      <c r="B179" s="8" t="s">
        <v>190</v>
      </c>
      <c r="C179" s="8" t="s">
        <v>191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11"/>
      <c r="O179" s="11"/>
      <c r="P179" s="11"/>
      <c r="Q179" s="11"/>
    </row>
    <row r="180" spans="1:17">
      <c r="A180" s="8" t="s">
        <v>212</v>
      </c>
      <c r="B180" s="8" t="s">
        <v>192</v>
      </c>
      <c r="C180" s="8" t="s">
        <v>193</v>
      </c>
      <c r="D180" s="8">
        <v>0</v>
      </c>
      <c r="E180" s="8">
        <v>0</v>
      </c>
      <c r="F180" s="8">
        <v>0</v>
      </c>
      <c r="G180" s="8">
        <v>98.9259587980968</v>
      </c>
      <c r="H180" s="8">
        <v>0</v>
      </c>
      <c r="I180" s="8">
        <v>0</v>
      </c>
      <c r="J180" s="8">
        <v>0</v>
      </c>
      <c r="K180" s="8">
        <v>0</v>
      </c>
      <c r="L180" s="8">
        <v>6.78798774599947</v>
      </c>
      <c r="M180" s="8">
        <v>3.78246210527513</v>
      </c>
      <c r="N180" s="11"/>
      <c r="O180" s="11"/>
      <c r="P180" s="11"/>
      <c r="Q180" s="11"/>
    </row>
    <row r="181" spans="1:17">
      <c r="A181" s="8" t="s">
        <v>212</v>
      </c>
      <c r="B181" s="8" t="s">
        <v>192</v>
      </c>
      <c r="C181" s="8" t="s">
        <v>194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11"/>
      <c r="O181" s="11"/>
      <c r="P181" s="11"/>
      <c r="Q181" s="11"/>
    </row>
    <row r="182" spans="1:17">
      <c r="A182" s="8" t="s">
        <v>212</v>
      </c>
      <c r="B182" s="8" t="s">
        <v>195</v>
      </c>
      <c r="C182" s="8" t="s">
        <v>196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11"/>
      <c r="O182" s="11"/>
      <c r="P182" s="11"/>
      <c r="Q182" s="11"/>
    </row>
    <row r="183" spans="1:17">
      <c r="A183" s="8" t="s">
        <v>212</v>
      </c>
      <c r="B183" s="8" t="s">
        <v>195</v>
      </c>
      <c r="C183" s="8" t="s">
        <v>197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11"/>
      <c r="O183" s="11"/>
      <c r="P183" s="11"/>
      <c r="Q183" s="11"/>
    </row>
    <row r="184" spans="1:17">
      <c r="A184" s="8" t="s">
        <v>212</v>
      </c>
      <c r="B184" s="8" t="s">
        <v>198</v>
      </c>
      <c r="C184" s="8" t="s">
        <v>199</v>
      </c>
      <c r="D184" s="8">
        <v>0</v>
      </c>
      <c r="E184" s="8">
        <v>0</v>
      </c>
      <c r="F184" s="8">
        <v>0</v>
      </c>
      <c r="G184" s="8">
        <v>65.9789483965039</v>
      </c>
      <c r="H184" s="8">
        <v>0</v>
      </c>
      <c r="I184" s="8">
        <v>0</v>
      </c>
      <c r="J184" s="8">
        <v>8.73544716792118</v>
      </c>
      <c r="K184" s="8">
        <v>0</v>
      </c>
      <c r="L184" s="8">
        <v>11.3381741020648</v>
      </c>
      <c r="M184" s="8">
        <v>0</v>
      </c>
      <c r="N184" s="11"/>
      <c r="O184" s="11"/>
      <c r="P184" s="11"/>
      <c r="Q184" s="11"/>
    </row>
    <row r="185" spans="1:17">
      <c r="A185" s="8" t="s">
        <v>212</v>
      </c>
      <c r="B185" s="8" t="s">
        <v>36</v>
      </c>
      <c r="C185" s="8" t="s">
        <v>130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11"/>
      <c r="O185" s="11"/>
      <c r="P185" s="11"/>
      <c r="Q185" s="11"/>
    </row>
    <row r="186" spans="1:17">
      <c r="A186" s="8" t="s">
        <v>212</v>
      </c>
      <c r="B186" s="8" t="s">
        <v>200</v>
      </c>
      <c r="C186" s="8" t="s">
        <v>97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7.59158796085571</v>
      </c>
      <c r="K186" s="8">
        <v>8.10108842569538</v>
      </c>
      <c r="L186" s="8">
        <v>0</v>
      </c>
      <c r="M186" s="8">
        <v>0</v>
      </c>
      <c r="N186" s="11"/>
      <c r="O186" s="11"/>
      <c r="P186" s="11"/>
      <c r="Q186" s="11"/>
    </row>
    <row r="187" spans="1:17">
      <c r="A187" s="8" t="s">
        <v>212</v>
      </c>
      <c r="B187" s="8" t="s">
        <v>200</v>
      </c>
      <c r="C187" s="8" t="s">
        <v>98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6.13984757160005</v>
      </c>
      <c r="N187" s="11"/>
      <c r="O187" s="11"/>
      <c r="P187" s="11"/>
      <c r="Q187" s="11"/>
    </row>
    <row r="188" spans="1:17">
      <c r="A188" s="8" t="s">
        <v>212</v>
      </c>
      <c r="B188" s="8" t="s">
        <v>200</v>
      </c>
      <c r="C188" s="8" t="s">
        <v>95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21.700642335268</v>
      </c>
      <c r="L188" s="8">
        <v>0</v>
      </c>
      <c r="M188" s="8">
        <v>0</v>
      </c>
      <c r="N188" s="11"/>
      <c r="O188" s="11"/>
      <c r="P188" s="11"/>
      <c r="Q188" s="11"/>
    </row>
    <row r="189" spans="1:17">
      <c r="A189" s="8" t="s">
        <v>212</v>
      </c>
      <c r="B189" s="8" t="s">
        <v>200</v>
      </c>
      <c r="C189" s="8" t="s">
        <v>93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4.28882258410256</v>
      </c>
      <c r="L189" s="8">
        <v>0</v>
      </c>
      <c r="M189" s="8">
        <v>0</v>
      </c>
      <c r="N189" s="11"/>
      <c r="O189" s="11"/>
      <c r="P189" s="11"/>
      <c r="Q189" s="11"/>
    </row>
    <row r="190" spans="1:17">
      <c r="A190" s="8" t="s">
        <v>212</v>
      </c>
      <c r="B190" s="8" t="s">
        <v>200</v>
      </c>
      <c r="C190" s="8" t="s">
        <v>96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11"/>
      <c r="O190" s="11"/>
      <c r="P190" s="11"/>
      <c r="Q190" s="11"/>
    </row>
    <row r="191" spans="1:17">
      <c r="A191" s="8" t="s">
        <v>212</v>
      </c>
      <c r="B191" s="8" t="s">
        <v>200</v>
      </c>
      <c r="C191" s="8" t="s">
        <v>94</v>
      </c>
      <c r="D191" s="8">
        <v>0</v>
      </c>
      <c r="E191" s="8">
        <v>0</v>
      </c>
      <c r="F191" s="8">
        <v>0</v>
      </c>
      <c r="G191" s="8">
        <v>2.98680684886347</v>
      </c>
      <c r="H191" s="8">
        <v>1.60986234535633</v>
      </c>
      <c r="I191" s="8">
        <v>0</v>
      </c>
      <c r="J191" s="8">
        <v>0</v>
      </c>
      <c r="K191" s="8">
        <v>1.96358704217331</v>
      </c>
      <c r="L191" s="8">
        <v>3.11290098071602</v>
      </c>
      <c r="M191" s="8">
        <v>0</v>
      </c>
      <c r="N191" s="11"/>
      <c r="O191" s="11"/>
      <c r="P191" s="11"/>
      <c r="Q191" s="11"/>
    </row>
    <row r="192" spans="1:17">
      <c r="A192" s="8" t="s">
        <v>212</v>
      </c>
      <c r="B192" s="8" t="s">
        <v>201</v>
      </c>
      <c r="C192" s="8" t="s">
        <v>202</v>
      </c>
      <c r="D192" s="8">
        <v>0</v>
      </c>
      <c r="E192" s="8">
        <v>0</v>
      </c>
      <c r="F192" s="8">
        <v>0.190775795168016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6.72824043671211</v>
      </c>
      <c r="M192" s="8">
        <v>0</v>
      </c>
      <c r="N192" s="11"/>
      <c r="O192" s="11"/>
      <c r="P192" s="11"/>
      <c r="Q192" s="11"/>
    </row>
    <row r="193" spans="1:17">
      <c r="A193" s="11"/>
      <c r="B193" s="11"/>
      <c r="C193" s="11"/>
      <c r="D193" s="2" t="s">
        <v>185</v>
      </c>
      <c r="E193" s="3"/>
      <c r="F193" s="3"/>
      <c r="G193" s="3"/>
      <c r="H193" s="4"/>
      <c r="I193" s="5" t="s">
        <v>186</v>
      </c>
      <c r="J193" s="6"/>
      <c r="K193" s="6"/>
      <c r="L193" s="6"/>
      <c r="M193" s="7"/>
      <c r="N193" s="8" t="s">
        <v>203</v>
      </c>
      <c r="O193" s="8" t="s">
        <v>203</v>
      </c>
      <c r="P193" s="8" t="s">
        <v>248</v>
      </c>
      <c r="Q193" s="8" t="s">
        <v>248</v>
      </c>
    </row>
    <row r="194" spans="1:17">
      <c r="A194" s="11"/>
      <c r="B194" s="8" t="s">
        <v>212</v>
      </c>
      <c r="C194" s="8" t="s">
        <v>37</v>
      </c>
      <c r="D194" s="8">
        <f t="shared" ref="D194:M194" si="70">SUM(D178:D184)</f>
        <v>0</v>
      </c>
      <c r="E194" s="8">
        <f t="shared" si="70"/>
        <v>0</v>
      </c>
      <c r="F194" s="8">
        <f t="shared" si="70"/>
        <v>0</v>
      </c>
      <c r="G194" s="8">
        <f t="shared" si="70"/>
        <v>164.904907194601</v>
      </c>
      <c r="H194" s="8">
        <f t="shared" si="70"/>
        <v>0</v>
      </c>
      <c r="I194" s="8">
        <f t="shared" si="70"/>
        <v>0</v>
      </c>
      <c r="J194" s="8">
        <f t="shared" si="70"/>
        <v>8.73544716792118</v>
      </c>
      <c r="K194" s="8">
        <f t="shared" si="70"/>
        <v>0</v>
      </c>
      <c r="L194" s="8">
        <f t="shared" si="70"/>
        <v>18.1261618480643</v>
      </c>
      <c r="M194" s="8">
        <f t="shared" si="70"/>
        <v>3.78246210527513</v>
      </c>
      <c r="N194" s="8">
        <f t="shared" ref="N194:N196" si="71">AVERAGE(D194:H194)</f>
        <v>32.9809814389201</v>
      </c>
      <c r="O194" s="8">
        <f t="shared" ref="O194:O196" si="72">AVERAGE(I194:M194)</f>
        <v>6.12881422425212</v>
      </c>
      <c r="P194" s="8">
        <f t="shared" ref="P194:P196" si="73">LOG(N194+1,2)</f>
        <v>5.0866556159385</v>
      </c>
      <c r="Q194" s="8">
        <f t="shared" ref="Q194:Q196" si="74">LOG(O194+1,2)</f>
        <v>2.83366212504793</v>
      </c>
    </row>
    <row r="195" spans="1:17">
      <c r="A195" s="11"/>
      <c r="B195" s="8" t="s">
        <v>212</v>
      </c>
      <c r="C195" s="8" t="s">
        <v>36</v>
      </c>
      <c r="D195" s="8">
        <f t="shared" ref="D195:M195" si="75">D185</f>
        <v>0</v>
      </c>
      <c r="E195" s="8">
        <f t="shared" si="75"/>
        <v>0</v>
      </c>
      <c r="F195" s="8">
        <f t="shared" si="75"/>
        <v>0</v>
      </c>
      <c r="G195" s="8">
        <f t="shared" si="75"/>
        <v>0</v>
      </c>
      <c r="H195" s="8">
        <f t="shared" si="75"/>
        <v>0</v>
      </c>
      <c r="I195" s="8">
        <f t="shared" si="75"/>
        <v>0</v>
      </c>
      <c r="J195" s="8">
        <f t="shared" si="75"/>
        <v>0</v>
      </c>
      <c r="K195" s="8">
        <f t="shared" si="75"/>
        <v>0</v>
      </c>
      <c r="L195" s="8">
        <f t="shared" si="75"/>
        <v>0</v>
      </c>
      <c r="M195" s="8">
        <f t="shared" si="75"/>
        <v>0</v>
      </c>
      <c r="N195" s="8">
        <f t="shared" si="71"/>
        <v>0</v>
      </c>
      <c r="O195" s="8">
        <f t="shared" si="72"/>
        <v>0</v>
      </c>
      <c r="P195" s="8">
        <f t="shared" si="73"/>
        <v>0</v>
      </c>
      <c r="Q195" s="8">
        <f t="shared" si="74"/>
        <v>0</v>
      </c>
    </row>
    <row r="196" spans="1:17">
      <c r="A196" s="11"/>
      <c r="B196" s="8" t="s">
        <v>212</v>
      </c>
      <c r="C196" s="8" t="s">
        <v>35</v>
      </c>
      <c r="D196" s="8">
        <f t="shared" ref="D196:M196" si="76">SUM(D186:D192)</f>
        <v>0</v>
      </c>
      <c r="E196" s="8">
        <f t="shared" si="76"/>
        <v>0</v>
      </c>
      <c r="F196" s="8">
        <f t="shared" si="76"/>
        <v>0.190775795168016</v>
      </c>
      <c r="G196" s="8">
        <f t="shared" si="76"/>
        <v>2.98680684886347</v>
      </c>
      <c r="H196" s="8">
        <f t="shared" si="76"/>
        <v>1.60986234535633</v>
      </c>
      <c r="I196" s="8">
        <f t="shared" si="76"/>
        <v>0</v>
      </c>
      <c r="J196" s="8">
        <f t="shared" si="76"/>
        <v>7.59158796085571</v>
      </c>
      <c r="K196" s="8">
        <f t="shared" si="76"/>
        <v>36.0541403872392</v>
      </c>
      <c r="L196" s="8">
        <f t="shared" si="76"/>
        <v>9.84114141742813</v>
      </c>
      <c r="M196" s="8">
        <f t="shared" si="76"/>
        <v>6.13984757160005</v>
      </c>
      <c r="N196" s="8">
        <f t="shared" si="71"/>
        <v>0.957488997877563</v>
      </c>
      <c r="O196" s="8">
        <f t="shared" si="72"/>
        <v>11.9253434674246</v>
      </c>
      <c r="P196" s="8">
        <f t="shared" si="73"/>
        <v>0.969004198830704</v>
      </c>
      <c r="Q196" s="8">
        <f t="shared" si="74"/>
        <v>3.69213071292594</v>
      </c>
    </row>
    <row r="197" spans="1:1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8"/>
      <c r="O197" s="8"/>
      <c r="P197" s="11"/>
      <c r="Q197" s="11"/>
    </row>
    <row r="198" spans="1:17">
      <c r="A198" s="11"/>
      <c r="B198" s="8" t="s">
        <v>212</v>
      </c>
      <c r="C198" s="8" t="s">
        <v>37</v>
      </c>
      <c r="D198" s="8">
        <f t="shared" ref="D198:M198" si="77">LOG(D194+1,2)</f>
        <v>0</v>
      </c>
      <c r="E198" s="8">
        <f t="shared" si="77"/>
        <v>0</v>
      </c>
      <c r="F198" s="8">
        <f t="shared" si="77"/>
        <v>0</v>
      </c>
      <c r="G198" s="8">
        <f t="shared" si="77"/>
        <v>7.37421274924881</v>
      </c>
      <c r="H198" s="8">
        <f t="shared" si="77"/>
        <v>0</v>
      </c>
      <c r="I198" s="8">
        <f t="shared" si="77"/>
        <v>0</v>
      </c>
      <c r="J198" s="8">
        <f t="shared" si="77"/>
        <v>3.28324724624153</v>
      </c>
      <c r="K198" s="8">
        <f t="shared" si="77"/>
        <v>0</v>
      </c>
      <c r="L198" s="8">
        <f t="shared" si="77"/>
        <v>4.25747548407974</v>
      </c>
      <c r="M198" s="15">
        <f t="shared" si="77"/>
        <v>2.25775353715513</v>
      </c>
      <c r="N198" s="8"/>
      <c r="O198" s="8"/>
      <c r="P198" s="11"/>
      <c r="Q198" s="11"/>
    </row>
    <row r="199" spans="1:17">
      <c r="A199" s="11"/>
      <c r="B199" s="8" t="s">
        <v>212</v>
      </c>
      <c r="C199" s="8" t="s">
        <v>36</v>
      </c>
      <c r="D199" s="8">
        <f t="shared" ref="D199:M199" si="78">LOG(D195+1,2)</f>
        <v>0</v>
      </c>
      <c r="E199" s="8">
        <f t="shared" si="78"/>
        <v>0</v>
      </c>
      <c r="F199" s="8">
        <f t="shared" si="78"/>
        <v>0</v>
      </c>
      <c r="G199" s="8">
        <f t="shared" si="78"/>
        <v>0</v>
      </c>
      <c r="H199" s="8">
        <f t="shared" si="78"/>
        <v>0</v>
      </c>
      <c r="I199" s="8">
        <f t="shared" si="78"/>
        <v>0</v>
      </c>
      <c r="J199" s="8">
        <f t="shared" si="78"/>
        <v>0</v>
      </c>
      <c r="K199" s="8">
        <f t="shared" si="78"/>
        <v>0</v>
      </c>
      <c r="L199" s="8">
        <f t="shared" si="78"/>
        <v>0</v>
      </c>
      <c r="M199" s="15">
        <f t="shared" si="78"/>
        <v>0</v>
      </c>
      <c r="N199" s="8"/>
      <c r="O199" s="8"/>
      <c r="P199" s="11"/>
      <c r="Q199" s="11"/>
    </row>
    <row r="200" spans="1:17">
      <c r="A200" s="11"/>
      <c r="B200" s="8" t="s">
        <v>212</v>
      </c>
      <c r="C200" s="8" t="s">
        <v>35</v>
      </c>
      <c r="D200" s="8">
        <f t="shared" ref="D200:M200" si="79">LOG(D196+1,2)</f>
        <v>0</v>
      </c>
      <c r="E200" s="8">
        <f t="shared" si="79"/>
        <v>0</v>
      </c>
      <c r="F200" s="8">
        <f t="shared" si="79"/>
        <v>0.251901801406443</v>
      </c>
      <c r="G200" s="8">
        <f t="shared" si="79"/>
        <v>1.99523371194752</v>
      </c>
      <c r="H200" s="8">
        <f t="shared" si="79"/>
        <v>1.38397371525915</v>
      </c>
      <c r="I200" s="8">
        <f t="shared" si="79"/>
        <v>0</v>
      </c>
      <c r="J200" s="8">
        <f t="shared" si="79"/>
        <v>3.10292480558074</v>
      </c>
      <c r="K200" s="8">
        <f t="shared" si="79"/>
        <v>5.21156285151831</v>
      </c>
      <c r="L200" s="8">
        <f t="shared" si="79"/>
        <v>3.43844475476846</v>
      </c>
      <c r="M200" s="15">
        <f t="shared" si="79"/>
        <v>2.83589327452831</v>
      </c>
      <c r="N200" s="8">
        <v>0.04676</v>
      </c>
      <c r="O200" s="8" t="s">
        <v>251</v>
      </c>
      <c r="P200" s="11"/>
      <c r="Q200" s="11"/>
    </row>
    <row r="201" spans="1:1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>
      <c r="A203" s="8" t="s">
        <v>213</v>
      </c>
      <c r="B203" s="8" t="s">
        <v>188</v>
      </c>
      <c r="C203" s="8" t="s">
        <v>189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11"/>
      <c r="O203" s="11"/>
      <c r="P203" s="11"/>
      <c r="Q203" s="11"/>
    </row>
    <row r="204" spans="1:17">
      <c r="A204" s="8" t="s">
        <v>213</v>
      </c>
      <c r="B204" s="8" t="s">
        <v>190</v>
      </c>
      <c r="C204" s="8" t="s">
        <v>191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11"/>
      <c r="O204" s="11"/>
      <c r="P204" s="11"/>
      <c r="Q204" s="11"/>
    </row>
    <row r="205" spans="1:17">
      <c r="A205" s="8" t="s">
        <v>213</v>
      </c>
      <c r="B205" s="8" t="s">
        <v>192</v>
      </c>
      <c r="C205" s="8" t="s">
        <v>193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33.010456470867</v>
      </c>
      <c r="M205" s="8">
        <v>0</v>
      </c>
      <c r="N205" s="11"/>
      <c r="O205" s="11"/>
      <c r="P205" s="11"/>
      <c r="Q205" s="11"/>
    </row>
    <row r="206" spans="1:17">
      <c r="A206" s="8" t="s">
        <v>213</v>
      </c>
      <c r="B206" s="8" t="s">
        <v>192</v>
      </c>
      <c r="C206" s="8" t="s">
        <v>194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11"/>
      <c r="O206" s="11"/>
      <c r="P206" s="11"/>
      <c r="Q206" s="11"/>
    </row>
    <row r="207" spans="1:17">
      <c r="A207" s="8" t="s">
        <v>213</v>
      </c>
      <c r="B207" s="8" t="s">
        <v>195</v>
      </c>
      <c r="C207" s="8" t="s">
        <v>196</v>
      </c>
      <c r="D207" s="8">
        <v>0</v>
      </c>
      <c r="E207" s="8">
        <v>0</v>
      </c>
      <c r="F207" s="8">
        <v>0</v>
      </c>
      <c r="G207" s="8">
        <v>30.7728047456435</v>
      </c>
      <c r="H207" s="8">
        <v>0</v>
      </c>
      <c r="I207" s="8">
        <v>0</v>
      </c>
      <c r="J207" s="8">
        <v>0</v>
      </c>
      <c r="K207" s="8">
        <v>0</v>
      </c>
      <c r="L207" s="8">
        <v>4.30476682985282</v>
      </c>
      <c r="M207" s="8">
        <v>0</v>
      </c>
      <c r="N207" s="11"/>
      <c r="O207" s="11"/>
      <c r="P207" s="11"/>
      <c r="Q207" s="11"/>
    </row>
    <row r="208" spans="1:17">
      <c r="A208" s="8" t="s">
        <v>213</v>
      </c>
      <c r="B208" s="8" t="s">
        <v>195</v>
      </c>
      <c r="C208" s="8" t="s">
        <v>197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11"/>
      <c r="O208" s="11"/>
      <c r="P208" s="11"/>
      <c r="Q208" s="11"/>
    </row>
    <row r="209" spans="1:17">
      <c r="A209" s="8" t="s">
        <v>213</v>
      </c>
      <c r="B209" s="8" t="s">
        <v>198</v>
      </c>
      <c r="C209" s="8" t="s">
        <v>199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11"/>
      <c r="O209" s="11"/>
      <c r="P209" s="11"/>
      <c r="Q209" s="11"/>
    </row>
    <row r="210" spans="1:17">
      <c r="A210" s="8" t="s">
        <v>213</v>
      </c>
      <c r="B210" s="8" t="s">
        <v>36</v>
      </c>
      <c r="C210" s="8" t="s">
        <v>130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118.31429889283</v>
      </c>
      <c r="K210" s="8">
        <v>0</v>
      </c>
      <c r="L210" s="8">
        <v>0</v>
      </c>
      <c r="M210" s="8">
        <v>0</v>
      </c>
      <c r="N210" s="11"/>
      <c r="O210" s="11"/>
      <c r="P210" s="11"/>
      <c r="Q210" s="11"/>
    </row>
    <row r="211" spans="1:17">
      <c r="A211" s="8" t="s">
        <v>213</v>
      </c>
      <c r="B211" s="8" t="s">
        <v>200</v>
      </c>
      <c r="C211" s="8" t="s">
        <v>97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2.95093882654333</v>
      </c>
      <c r="J211" s="8">
        <v>20.9987166238875</v>
      </c>
      <c r="K211" s="8">
        <v>8.12129420230891</v>
      </c>
      <c r="L211" s="8">
        <v>6.2824798450485</v>
      </c>
      <c r="M211" s="8">
        <v>1.10723528331977</v>
      </c>
      <c r="N211" s="11"/>
      <c r="O211" s="11"/>
      <c r="P211" s="11"/>
      <c r="Q211" s="11"/>
    </row>
    <row r="212" spans="1:17">
      <c r="A212" s="8" t="s">
        <v>213</v>
      </c>
      <c r="B212" s="8" t="s">
        <v>200</v>
      </c>
      <c r="C212" s="8" t="s">
        <v>98</v>
      </c>
      <c r="D212" s="8">
        <v>0</v>
      </c>
      <c r="E212" s="8">
        <v>15.8885963261806</v>
      </c>
      <c r="F212" s="8">
        <v>111.651228647444</v>
      </c>
      <c r="G212" s="8">
        <v>1.76826213381908</v>
      </c>
      <c r="H212" s="8">
        <v>0</v>
      </c>
      <c r="I212" s="8">
        <v>7.6288920373413</v>
      </c>
      <c r="J212" s="8">
        <v>24.3852932219102</v>
      </c>
      <c r="K212" s="8">
        <v>9.52980998079145</v>
      </c>
      <c r="L212" s="8">
        <v>24.3877467155821</v>
      </c>
      <c r="M212" s="8">
        <v>1.02722797399342</v>
      </c>
      <c r="N212" s="11"/>
      <c r="O212" s="11"/>
      <c r="P212" s="11"/>
      <c r="Q212" s="11"/>
    </row>
    <row r="213" spans="1:17">
      <c r="A213" s="8" t="s">
        <v>213</v>
      </c>
      <c r="B213" s="8" t="s">
        <v>200</v>
      </c>
      <c r="C213" s="8" t="s">
        <v>95</v>
      </c>
      <c r="D213" s="8">
        <v>0</v>
      </c>
      <c r="E213" s="8">
        <v>2.01739946869322</v>
      </c>
      <c r="F213" s="8">
        <v>45.8966544362333</v>
      </c>
      <c r="G213" s="8">
        <v>233.2954</v>
      </c>
      <c r="H213" s="8">
        <v>7.83118742548328</v>
      </c>
      <c r="I213" s="8">
        <v>7.94660471361307</v>
      </c>
      <c r="J213" s="8">
        <v>9.06330597889801</v>
      </c>
      <c r="K213" s="8">
        <v>5.60947438710175</v>
      </c>
      <c r="L213" s="8">
        <v>2.22982332232862</v>
      </c>
      <c r="M213" s="8">
        <v>6.15662180782217</v>
      </c>
      <c r="N213" s="11"/>
      <c r="O213" s="11"/>
      <c r="P213" s="11"/>
      <c r="Q213" s="11"/>
    </row>
    <row r="214" spans="1:17">
      <c r="A214" s="8" t="s">
        <v>213</v>
      </c>
      <c r="B214" s="8" t="s">
        <v>200</v>
      </c>
      <c r="C214" s="8" t="s">
        <v>93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11"/>
      <c r="O214" s="11"/>
      <c r="P214" s="11"/>
      <c r="Q214" s="11"/>
    </row>
    <row r="215" spans="1:17">
      <c r="A215" s="8" t="s">
        <v>213</v>
      </c>
      <c r="B215" s="8" t="s">
        <v>200</v>
      </c>
      <c r="C215" s="8" t="s">
        <v>96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11"/>
      <c r="O215" s="11"/>
      <c r="P215" s="11"/>
      <c r="Q215" s="11"/>
    </row>
    <row r="216" spans="1:17">
      <c r="A216" s="8" t="s">
        <v>213</v>
      </c>
      <c r="B216" s="8" t="s">
        <v>200</v>
      </c>
      <c r="C216" s="8" t="s">
        <v>94</v>
      </c>
      <c r="D216" s="8">
        <v>0</v>
      </c>
      <c r="E216" s="8">
        <v>2.34879757202517</v>
      </c>
      <c r="F216" s="8">
        <v>0.779781322339411</v>
      </c>
      <c r="G216" s="8">
        <v>0</v>
      </c>
      <c r="H216" s="8">
        <v>0</v>
      </c>
      <c r="I216" s="8">
        <v>4.13018081424587</v>
      </c>
      <c r="J216" s="8">
        <v>0</v>
      </c>
      <c r="K216" s="8">
        <v>2.77837730745489</v>
      </c>
      <c r="L216" s="8">
        <v>6.4894860207243</v>
      </c>
      <c r="M216" s="8">
        <v>5.43398892749672</v>
      </c>
      <c r="N216" s="11"/>
      <c r="O216" s="11"/>
      <c r="P216" s="11"/>
      <c r="Q216" s="11"/>
    </row>
    <row r="217" spans="1:17">
      <c r="A217" s="8" t="s">
        <v>213</v>
      </c>
      <c r="B217" s="8" t="s">
        <v>201</v>
      </c>
      <c r="C217" s="8" t="s">
        <v>202</v>
      </c>
      <c r="D217" s="8">
        <v>0</v>
      </c>
      <c r="E217" s="8">
        <v>2.71910307710009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3.04023194259574</v>
      </c>
      <c r="M217" s="8">
        <v>0</v>
      </c>
      <c r="N217" s="11"/>
      <c r="O217" s="11"/>
      <c r="P217" s="11"/>
      <c r="Q217" s="11"/>
    </row>
    <row r="218" spans="1:17">
      <c r="A218" s="11"/>
      <c r="B218" s="11"/>
      <c r="C218" s="11"/>
      <c r="D218" s="2" t="s">
        <v>185</v>
      </c>
      <c r="E218" s="3"/>
      <c r="F218" s="3"/>
      <c r="G218" s="3"/>
      <c r="H218" s="4"/>
      <c r="I218" s="5" t="s">
        <v>186</v>
      </c>
      <c r="J218" s="6"/>
      <c r="K218" s="6"/>
      <c r="L218" s="6"/>
      <c r="M218" s="7"/>
      <c r="N218" s="8" t="s">
        <v>203</v>
      </c>
      <c r="O218" s="8" t="s">
        <v>203</v>
      </c>
      <c r="P218" s="8" t="s">
        <v>248</v>
      </c>
      <c r="Q218" s="8" t="s">
        <v>248</v>
      </c>
    </row>
    <row r="219" spans="1:17">
      <c r="A219" s="11"/>
      <c r="B219" s="8" t="s">
        <v>213</v>
      </c>
      <c r="C219" s="8" t="s">
        <v>37</v>
      </c>
      <c r="D219" s="8">
        <f t="shared" ref="D219:M219" si="80">SUM(D203:D209)</f>
        <v>0</v>
      </c>
      <c r="E219" s="8">
        <f t="shared" si="80"/>
        <v>0</v>
      </c>
      <c r="F219" s="8">
        <f t="shared" si="80"/>
        <v>0</v>
      </c>
      <c r="G219" s="8">
        <f t="shared" si="80"/>
        <v>30.7728047456435</v>
      </c>
      <c r="H219" s="8">
        <f t="shared" si="80"/>
        <v>0</v>
      </c>
      <c r="I219" s="8">
        <f t="shared" si="80"/>
        <v>0</v>
      </c>
      <c r="J219" s="8">
        <f t="shared" si="80"/>
        <v>0</v>
      </c>
      <c r="K219" s="8">
        <f t="shared" si="80"/>
        <v>0</v>
      </c>
      <c r="L219" s="8">
        <f t="shared" si="80"/>
        <v>37.3152233007198</v>
      </c>
      <c r="M219" s="8">
        <f t="shared" si="80"/>
        <v>0</v>
      </c>
      <c r="N219" s="8">
        <f t="shared" ref="N219:N221" si="81">AVERAGE(D219:H219)</f>
        <v>6.15456094912869</v>
      </c>
      <c r="O219" s="8">
        <f t="shared" ref="O219:O221" si="82">AVERAGE(I219:M219)</f>
        <v>7.46304466014397</v>
      </c>
      <c r="P219" s="8">
        <f t="shared" ref="P219:P221" si="83">LOG(N219+1,2)</f>
        <v>2.8388632364209</v>
      </c>
      <c r="Q219" s="8">
        <f t="shared" ref="Q219:Q221" si="84">LOG(O219+1,2)</f>
        <v>3.08117677987851</v>
      </c>
    </row>
    <row r="220" spans="1:17">
      <c r="A220" s="11"/>
      <c r="B220" s="8" t="s">
        <v>213</v>
      </c>
      <c r="C220" s="8" t="s">
        <v>36</v>
      </c>
      <c r="D220" s="8">
        <f t="shared" ref="D220:M220" si="85">D210</f>
        <v>0</v>
      </c>
      <c r="E220" s="8">
        <f t="shared" si="85"/>
        <v>0</v>
      </c>
      <c r="F220" s="8">
        <f t="shared" si="85"/>
        <v>0</v>
      </c>
      <c r="G220" s="8">
        <f t="shared" si="85"/>
        <v>0</v>
      </c>
      <c r="H220" s="8">
        <f t="shared" si="85"/>
        <v>0</v>
      </c>
      <c r="I220" s="8">
        <f t="shared" si="85"/>
        <v>0</v>
      </c>
      <c r="J220" s="8">
        <f t="shared" si="85"/>
        <v>118.31429889283</v>
      </c>
      <c r="K220" s="8">
        <f t="shared" si="85"/>
        <v>0</v>
      </c>
      <c r="L220" s="8">
        <f t="shared" si="85"/>
        <v>0</v>
      </c>
      <c r="M220" s="8">
        <f t="shared" si="85"/>
        <v>0</v>
      </c>
      <c r="N220" s="8">
        <f t="shared" si="81"/>
        <v>0</v>
      </c>
      <c r="O220" s="8">
        <f t="shared" si="82"/>
        <v>23.6628597785659</v>
      </c>
      <c r="P220" s="8">
        <f t="shared" si="83"/>
        <v>0</v>
      </c>
      <c r="Q220" s="8">
        <f t="shared" si="84"/>
        <v>4.62426819183587</v>
      </c>
    </row>
    <row r="221" spans="1:17">
      <c r="A221" s="11"/>
      <c r="B221" s="8" t="s">
        <v>213</v>
      </c>
      <c r="C221" s="8" t="s">
        <v>35</v>
      </c>
      <c r="D221" s="8">
        <f t="shared" ref="D221:M221" si="86">SUM(D211:D217)</f>
        <v>0</v>
      </c>
      <c r="E221" s="8">
        <f t="shared" si="86"/>
        <v>22.973896443999</v>
      </c>
      <c r="F221" s="8">
        <f t="shared" si="86"/>
        <v>158.327664406017</v>
      </c>
      <c r="G221" s="8">
        <f t="shared" si="86"/>
        <v>235.063662133819</v>
      </c>
      <c r="H221" s="8">
        <f t="shared" si="86"/>
        <v>7.83118742548328</v>
      </c>
      <c r="I221" s="8">
        <f t="shared" si="86"/>
        <v>22.6566163917436</v>
      </c>
      <c r="J221" s="8">
        <f t="shared" si="86"/>
        <v>54.4473158246957</v>
      </c>
      <c r="K221" s="8">
        <f t="shared" si="86"/>
        <v>26.038955877657</v>
      </c>
      <c r="L221" s="8">
        <f t="shared" si="86"/>
        <v>42.4297678462793</v>
      </c>
      <c r="M221" s="8">
        <f t="shared" si="86"/>
        <v>13.7250739926321</v>
      </c>
      <c r="N221" s="8">
        <f t="shared" si="81"/>
        <v>84.8392820818636</v>
      </c>
      <c r="O221" s="8">
        <f t="shared" si="82"/>
        <v>31.8595459866015</v>
      </c>
      <c r="P221" s="8">
        <f t="shared" si="83"/>
        <v>6.42356610503042</v>
      </c>
      <c r="Q221" s="8">
        <f t="shared" si="84"/>
        <v>5.03824064190075</v>
      </c>
    </row>
    <row r="222" spans="1:17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8"/>
      <c r="O222" s="8"/>
      <c r="P222" s="11"/>
      <c r="Q222" s="11"/>
    </row>
    <row r="223" spans="1:17">
      <c r="A223" s="11"/>
      <c r="B223" s="8" t="s">
        <v>213</v>
      </c>
      <c r="C223" s="8" t="s">
        <v>37</v>
      </c>
      <c r="D223" s="8">
        <f t="shared" ref="D223:M223" si="87">LOG(D219+1,2)</f>
        <v>0</v>
      </c>
      <c r="E223" s="8">
        <f t="shared" si="87"/>
        <v>0</v>
      </c>
      <c r="F223" s="8">
        <f t="shared" si="87"/>
        <v>0</v>
      </c>
      <c r="G223" s="8">
        <f t="shared" si="87"/>
        <v>4.98972054452416</v>
      </c>
      <c r="H223" s="8">
        <f t="shared" si="87"/>
        <v>0</v>
      </c>
      <c r="I223" s="8">
        <f t="shared" si="87"/>
        <v>0</v>
      </c>
      <c r="J223" s="8">
        <f t="shared" si="87"/>
        <v>0</v>
      </c>
      <c r="K223" s="8">
        <f t="shared" si="87"/>
        <v>0</v>
      </c>
      <c r="L223" s="8">
        <f t="shared" si="87"/>
        <v>5.25984580862559</v>
      </c>
      <c r="M223" s="15">
        <f t="shared" si="87"/>
        <v>0</v>
      </c>
      <c r="N223" s="8"/>
      <c r="O223" s="8"/>
      <c r="P223" s="11"/>
      <c r="Q223" s="11"/>
    </row>
    <row r="224" spans="1:17">
      <c r="A224" s="11"/>
      <c r="B224" s="8" t="s">
        <v>213</v>
      </c>
      <c r="C224" s="8" t="s">
        <v>36</v>
      </c>
      <c r="D224" s="8">
        <f t="shared" ref="D224:M224" si="88">LOG(D220+1,2)</f>
        <v>0</v>
      </c>
      <c r="E224" s="8">
        <f t="shared" si="88"/>
        <v>0</v>
      </c>
      <c r="F224" s="8">
        <f t="shared" si="88"/>
        <v>0</v>
      </c>
      <c r="G224" s="8">
        <f t="shared" si="88"/>
        <v>0</v>
      </c>
      <c r="H224" s="8">
        <f t="shared" si="88"/>
        <v>0</v>
      </c>
      <c r="I224" s="8">
        <f t="shared" si="88"/>
        <v>0</v>
      </c>
      <c r="J224" s="8">
        <f t="shared" si="88"/>
        <v>6.89862313897397</v>
      </c>
      <c r="K224" s="8">
        <f t="shared" si="88"/>
        <v>0</v>
      </c>
      <c r="L224" s="8">
        <f t="shared" si="88"/>
        <v>0</v>
      </c>
      <c r="M224" s="15">
        <f t="shared" si="88"/>
        <v>0</v>
      </c>
      <c r="N224" s="8"/>
      <c r="O224" s="8"/>
      <c r="P224" s="11"/>
      <c r="Q224" s="11"/>
    </row>
    <row r="225" spans="1:17">
      <c r="A225" s="11"/>
      <c r="B225" s="8" t="s">
        <v>213</v>
      </c>
      <c r="C225" s="8" t="s">
        <v>35</v>
      </c>
      <c r="D225" s="8">
        <f t="shared" ref="D225:M225" si="89">LOG(D221+1,2)</f>
        <v>0</v>
      </c>
      <c r="E225" s="8">
        <f t="shared" si="89"/>
        <v>4.58339250214692</v>
      </c>
      <c r="F225" s="8">
        <f t="shared" si="89"/>
        <v>7.31585297663937</v>
      </c>
      <c r="G225" s="8">
        <f t="shared" si="89"/>
        <v>7.88303217079896</v>
      </c>
      <c r="H225" s="8">
        <f t="shared" si="89"/>
        <v>3.14260743308114</v>
      </c>
      <c r="I225" s="8">
        <f t="shared" si="89"/>
        <v>4.56417183450179</v>
      </c>
      <c r="J225" s="8">
        <f t="shared" si="89"/>
        <v>5.79304571685901</v>
      </c>
      <c r="K225" s="8">
        <f t="shared" si="89"/>
        <v>4.75696753721714</v>
      </c>
      <c r="L225" s="8">
        <f t="shared" si="89"/>
        <v>5.44061233577687</v>
      </c>
      <c r="M225" s="15">
        <f t="shared" si="89"/>
        <v>3.88020297841917</v>
      </c>
      <c r="N225" s="8" t="s">
        <v>253</v>
      </c>
      <c r="O225" s="8"/>
      <c r="P225" s="11"/>
      <c r="Q225" s="11"/>
    </row>
    <row r="226" spans="1:1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>
      <c r="A228" s="8" t="s">
        <v>214</v>
      </c>
      <c r="B228" s="8" t="s">
        <v>188</v>
      </c>
      <c r="C228" s="8" t="s">
        <v>189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11"/>
      <c r="O228" s="11"/>
      <c r="P228" s="11"/>
      <c r="Q228" s="11"/>
    </row>
    <row r="229" spans="1:17">
      <c r="A229" s="8" t="s">
        <v>214</v>
      </c>
      <c r="B229" s="8" t="s">
        <v>190</v>
      </c>
      <c r="C229" s="8" t="s">
        <v>191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11"/>
      <c r="O229" s="11"/>
      <c r="P229" s="11"/>
      <c r="Q229" s="11"/>
    </row>
    <row r="230" spans="1:17">
      <c r="A230" s="8" t="s">
        <v>214</v>
      </c>
      <c r="B230" s="8" t="s">
        <v>192</v>
      </c>
      <c r="C230" s="8" t="s">
        <v>193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11"/>
      <c r="O230" s="11"/>
      <c r="P230" s="11"/>
      <c r="Q230" s="11"/>
    </row>
    <row r="231" spans="1:17">
      <c r="A231" s="8" t="s">
        <v>214</v>
      </c>
      <c r="B231" s="8" t="s">
        <v>192</v>
      </c>
      <c r="C231" s="8" t="s">
        <v>194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11"/>
      <c r="O231" s="11"/>
      <c r="P231" s="11"/>
      <c r="Q231" s="11"/>
    </row>
    <row r="232" spans="1:17">
      <c r="A232" s="8" t="s">
        <v>214</v>
      </c>
      <c r="B232" s="8" t="s">
        <v>195</v>
      </c>
      <c r="C232" s="8" t="s">
        <v>196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11"/>
      <c r="O232" s="11"/>
      <c r="P232" s="11"/>
      <c r="Q232" s="11"/>
    </row>
    <row r="233" spans="1:17">
      <c r="A233" s="8" t="s">
        <v>214</v>
      </c>
      <c r="B233" s="8" t="s">
        <v>195</v>
      </c>
      <c r="C233" s="8" t="s">
        <v>197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11"/>
      <c r="O233" s="11"/>
      <c r="P233" s="11"/>
      <c r="Q233" s="11"/>
    </row>
    <row r="234" spans="1:17">
      <c r="A234" s="8" t="s">
        <v>214</v>
      </c>
      <c r="B234" s="8" t="s">
        <v>198</v>
      </c>
      <c r="C234" s="8" t="s">
        <v>199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11"/>
      <c r="O234" s="11"/>
      <c r="P234" s="11"/>
      <c r="Q234" s="11"/>
    </row>
    <row r="235" spans="1:17">
      <c r="A235" s="8" t="s">
        <v>214</v>
      </c>
      <c r="B235" s="8" t="s">
        <v>36</v>
      </c>
      <c r="C235" s="8" t="s">
        <v>130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11"/>
      <c r="O235" s="11"/>
      <c r="P235" s="11"/>
      <c r="Q235" s="11"/>
    </row>
    <row r="236" spans="1:17">
      <c r="A236" s="8" t="s">
        <v>214</v>
      </c>
      <c r="B236" s="8" t="s">
        <v>200</v>
      </c>
      <c r="C236" s="8" t="s">
        <v>97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4.00129439365747</v>
      </c>
      <c r="M236" s="8">
        <v>0</v>
      </c>
      <c r="N236" s="11"/>
      <c r="O236" s="11"/>
      <c r="P236" s="11"/>
      <c r="Q236" s="11"/>
    </row>
    <row r="237" spans="1:17">
      <c r="A237" s="8" t="s">
        <v>214</v>
      </c>
      <c r="B237" s="8" t="s">
        <v>200</v>
      </c>
      <c r="C237" s="8" t="s">
        <v>98</v>
      </c>
      <c r="D237" s="8">
        <v>0</v>
      </c>
      <c r="E237" s="8">
        <v>1.37258802679327</v>
      </c>
      <c r="F237" s="8">
        <v>0</v>
      </c>
      <c r="G237" s="8">
        <v>0</v>
      </c>
      <c r="H237" s="8">
        <v>0</v>
      </c>
      <c r="I237" s="8">
        <v>0</v>
      </c>
      <c r="J237" s="8">
        <v>11.4900556619197</v>
      </c>
      <c r="K237" s="8">
        <v>0</v>
      </c>
      <c r="L237" s="8">
        <v>1.5682908260373</v>
      </c>
      <c r="M237" s="8">
        <v>7.2726</v>
      </c>
      <c r="N237" s="11"/>
      <c r="O237" s="11"/>
      <c r="P237" s="11"/>
      <c r="Q237" s="11"/>
    </row>
    <row r="238" spans="1:17">
      <c r="A238" s="8" t="s">
        <v>214</v>
      </c>
      <c r="B238" s="8" t="s">
        <v>200</v>
      </c>
      <c r="C238" s="8" t="s">
        <v>95</v>
      </c>
      <c r="D238" s="8">
        <v>0</v>
      </c>
      <c r="E238" s="8">
        <v>0.0229242401695047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1.76460874290679</v>
      </c>
      <c r="L238" s="8">
        <v>0.637884308833063</v>
      </c>
      <c r="M238" s="8">
        <v>1.38084047525714</v>
      </c>
      <c r="N238" s="11"/>
      <c r="O238" s="11"/>
      <c r="P238" s="11"/>
      <c r="Q238" s="11"/>
    </row>
    <row r="239" spans="1:17">
      <c r="A239" s="8" t="s">
        <v>214</v>
      </c>
      <c r="B239" s="8" t="s">
        <v>200</v>
      </c>
      <c r="C239" s="8" t="s">
        <v>93</v>
      </c>
      <c r="D239" s="8">
        <v>0</v>
      </c>
      <c r="E239" s="8">
        <v>0.638410289182524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0.69557870471858</v>
      </c>
      <c r="M239" s="8">
        <v>0</v>
      </c>
      <c r="N239" s="11"/>
      <c r="O239" s="11"/>
      <c r="P239" s="11"/>
      <c r="Q239" s="11"/>
    </row>
    <row r="240" spans="1:17">
      <c r="A240" s="8" t="s">
        <v>214</v>
      </c>
      <c r="B240" s="8" t="s">
        <v>200</v>
      </c>
      <c r="C240" s="8" t="s">
        <v>96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2.09762134708562</v>
      </c>
      <c r="M240" s="8">
        <v>0</v>
      </c>
      <c r="N240" s="11"/>
      <c r="O240" s="11"/>
      <c r="P240" s="11"/>
      <c r="Q240" s="11"/>
    </row>
    <row r="241" spans="1:17">
      <c r="A241" s="8" t="s">
        <v>214</v>
      </c>
      <c r="B241" s="8" t="s">
        <v>200</v>
      </c>
      <c r="C241" s="8" t="s">
        <v>94</v>
      </c>
      <c r="D241" s="8">
        <v>0</v>
      </c>
      <c r="E241" s="8">
        <v>0.252595881749151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0.880765908316591</v>
      </c>
      <c r="M241" s="8">
        <v>0</v>
      </c>
      <c r="N241" s="11"/>
      <c r="O241" s="11"/>
      <c r="P241" s="11"/>
      <c r="Q241" s="11"/>
    </row>
    <row r="242" spans="1:17">
      <c r="A242" s="8" t="s">
        <v>214</v>
      </c>
      <c r="B242" s="8" t="s">
        <v>201</v>
      </c>
      <c r="C242" s="8" t="s">
        <v>202</v>
      </c>
      <c r="D242" s="8">
        <v>0</v>
      </c>
      <c r="E242" s="8">
        <v>3.16346851021097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0.933702821947205</v>
      </c>
      <c r="M242" s="8">
        <v>6.77298007432123</v>
      </c>
      <c r="N242" s="11"/>
      <c r="O242" s="11"/>
      <c r="P242" s="11"/>
      <c r="Q242" s="11"/>
    </row>
    <row r="243" spans="1:17">
      <c r="A243" s="11"/>
      <c r="B243" s="11"/>
      <c r="C243" s="11"/>
      <c r="D243" s="2" t="s">
        <v>185</v>
      </c>
      <c r="E243" s="3"/>
      <c r="F243" s="3"/>
      <c r="G243" s="3"/>
      <c r="H243" s="4"/>
      <c r="I243" s="5" t="s">
        <v>186</v>
      </c>
      <c r="J243" s="6"/>
      <c r="K243" s="6"/>
      <c r="L243" s="6"/>
      <c r="M243" s="7"/>
      <c r="N243" s="8" t="s">
        <v>203</v>
      </c>
      <c r="O243" s="8" t="s">
        <v>203</v>
      </c>
      <c r="P243" s="8" t="s">
        <v>248</v>
      </c>
      <c r="Q243" s="8" t="s">
        <v>248</v>
      </c>
    </row>
    <row r="244" spans="1:17">
      <c r="A244" s="11"/>
      <c r="B244" s="8" t="s">
        <v>214</v>
      </c>
      <c r="C244" s="8" t="s">
        <v>37</v>
      </c>
      <c r="D244" s="8">
        <f t="shared" ref="D244:M244" si="90">SUM(D228:D234)</f>
        <v>0</v>
      </c>
      <c r="E244" s="8">
        <f t="shared" si="90"/>
        <v>0</v>
      </c>
      <c r="F244" s="8">
        <f t="shared" si="90"/>
        <v>0</v>
      </c>
      <c r="G244" s="8">
        <f t="shared" si="90"/>
        <v>0</v>
      </c>
      <c r="H244" s="8">
        <f t="shared" si="90"/>
        <v>0</v>
      </c>
      <c r="I244" s="8">
        <f t="shared" si="90"/>
        <v>0</v>
      </c>
      <c r="J244" s="8">
        <f t="shared" si="90"/>
        <v>0</v>
      </c>
      <c r="K244" s="8">
        <f t="shared" si="90"/>
        <v>0</v>
      </c>
      <c r="L244" s="8">
        <f t="shared" si="90"/>
        <v>0</v>
      </c>
      <c r="M244" s="8">
        <f t="shared" si="90"/>
        <v>0</v>
      </c>
      <c r="N244" s="8">
        <f t="shared" ref="N244:N246" si="91">AVERAGE(D244:H244)</f>
        <v>0</v>
      </c>
      <c r="O244" s="8">
        <f t="shared" ref="O244:O246" si="92">AVERAGE(I244:M244)</f>
        <v>0</v>
      </c>
      <c r="P244" s="8">
        <f t="shared" ref="P244:P246" si="93">LOG(N244+1,2)</f>
        <v>0</v>
      </c>
      <c r="Q244" s="8">
        <f t="shared" ref="Q244:Q246" si="94">LOG(O244+1,2)</f>
        <v>0</v>
      </c>
    </row>
    <row r="245" spans="1:17">
      <c r="A245" s="11"/>
      <c r="B245" s="8" t="s">
        <v>214</v>
      </c>
      <c r="C245" s="8" t="s">
        <v>36</v>
      </c>
      <c r="D245" s="8">
        <f t="shared" ref="D245:M245" si="95">D235</f>
        <v>0</v>
      </c>
      <c r="E245" s="8">
        <f t="shared" si="95"/>
        <v>0</v>
      </c>
      <c r="F245" s="8">
        <f t="shared" si="95"/>
        <v>0</v>
      </c>
      <c r="G245" s="8">
        <f t="shared" si="95"/>
        <v>0</v>
      </c>
      <c r="H245" s="8">
        <f t="shared" si="95"/>
        <v>0</v>
      </c>
      <c r="I245" s="8">
        <f t="shared" si="95"/>
        <v>0</v>
      </c>
      <c r="J245" s="8">
        <f t="shared" si="95"/>
        <v>0</v>
      </c>
      <c r="K245" s="8">
        <f t="shared" si="95"/>
        <v>0</v>
      </c>
      <c r="L245" s="8">
        <f t="shared" si="95"/>
        <v>0</v>
      </c>
      <c r="M245" s="8">
        <f t="shared" si="95"/>
        <v>0</v>
      </c>
      <c r="N245" s="8">
        <f t="shared" si="91"/>
        <v>0</v>
      </c>
      <c r="O245" s="8">
        <f t="shared" si="92"/>
        <v>0</v>
      </c>
      <c r="P245" s="8">
        <f t="shared" si="93"/>
        <v>0</v>
      </c>
      <c r="Q245" s="8">
        <f t="shared" si="94"/>
        <v>0</v>
      </c>
    </row>
    <row r="246" spans="1:17">
      <c r="A246" s="11"/>
      <c r="B246" s="8" t="s">
        <v>214</v>
      </c>
      <c r="C246" s="8" t="s">
        <v>35</v>
      </c>
      <c r="D246" s="8">
        <f t="shared" ref="D246:M246" si="96">SUM(D236:D242)</f>
        <v>0</v>
      </c>
      <c r="E246" s="8">
        <f t="shared" si="96"/>
        <v>5.44998694810541</v>
      </c>
      <c r="F246" s="8">
        <f t="shared" si="96"/>
        <v>0</v>
      </c>
      <c r="G246" s="8">
        <f t="shared" si="96"/>
        <v>0</v>
      </c>
      <c r="H246" s="8">
        <f t="shared" si="96"/>
        <v>0</v>
      </c>
      <c r="I246" s="8">
        <f t="shared" si="96"/>
        <v>0</v>
      </c>
      <c r="J246" s="8">
        <f t="shared" si="96"/>
        <v>11.4900556619197</v>
      </c>
      <c r="K246" s="8">
        <f t="shared" si="96"/>
        <v>1.76460874290679</v>
      </c>
      <c r="L246" s="8">
        <f t="shared" si="96"/>
        <v>10.8151383105958</v>
      </c>
      <c r="M246" s="8">
        <f t="shared" si="96"/>
        <v>15.4264205495784</v>
      </c>
      <c r="N246" s="8">
        <f t="shared" si="91"/>
        <v>1.08999738962108</v>
      </c>
      <c r="O246" s="8">
        <f t="shared" si="92"/>
        <v>7.89924465300014</v>
      </c>
      <c r="P246" s="8">
        <f t="shared" si="93"/>
        <v>1.06350114040038</v>
      </c>
      <c r="Q246" s="8">
        <f t="shared" si="94"/>
        <v>3.15368288870638</v>
      </c>
    </row>
    <row r="247" spans="1:1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8"/>
      <c r="O247" s="8"/>
      <c r="P247" s="11"/>
      <c r="Q247" s="11"/>
    </row>
    <row r="248" spans="1:17">
      <c r="A248" s="11"/>
      <c r="B248" s="8" t="s">
        <v>214</v>
      </c>
      <c r="C248" s="8" t="s">
        <v>37</v>
      </c>
      <c r="D248" s="8">
        <f t="shared" ref="D248:M248" si="97">LOG(D244+1,2)</f>
        <v>0</v>
      </c>
      <c r="E248" s="8">
        <f t="shared" si="97"/>
        <v>0</v>
      </c>
      <c r="F248" s="8">
        <f t="shared" si="97"/>
        <v>0</v>
      </c>
      <c r="G248" s="8">
        <f t="shared" si="97"/>
        <v>0</v>
      </c>
      <c r="H248" s="8">
        <f t="shared" si="97"/>
        <v>0</v>
      </c>
      <c r="I248" s="8">
        <f t="shared" si="97"/>
        <v>0</v>
      </c>
      <c r="J248" s="8">
        <f t="shared" si="97"/>
        <v>0</v>
      </c>
      <c r="K248" s="8">
        <f t="shared" si="97"/>
        <v>0</v>
      </c>
      <c r="L248" s="8">
        <f t="shared" si="97"/>
        <v>0</v>
      </c>
      <c r="M248" s="15">
        <f t="shared" si="97"/>
        <v>0</v>
      </c>
      <c r="N248" s="8"/>
      <c r="O248" s="8"/>
      <c r="P248" s="11"/>
      <c r="Q248" s="11"/>
    </row>
    <row r="249" spans="1:17">
      <c r="A249" s="11"/>
      <c r="B249" s="8" t="s">
        <v>214</v>
      </c>
      <c r="C249" s="8" t="s">
        <v>36</v>
      </c>
      <c r="D249" s="8">
        <f t="shared" ref="D249:M249" si="98">LOG(D245+1,2)</f>
        <v>0</v>
      </c>
      <c r="E249" s="8">
        <f t="shared" si="98"/>
        <v>0</v>
      </c>
      <c r="F249" s="8">
        <f t="shared" si="98"/>
        <v>0</v>
      </c>
      <c r="G249" s="8">
        <f t="shared" si="98"/>
        <v>0</v>
      </c>
      <c r="H249" s="8">
        <f t="shared" si="98"/>
        <v>0</v>
      </c>
      <c r="I249" s="8">
        <f t="shared" si="98"/>
        <v>0</v>
      </c>
      <c r="J249" s="8">
        <f t="shared" si="98"/>
        <v>0</v>
      </c>
      <c r="K249" s="8">
        <f t="shared" si="98"/>
        <v>0</v>
      </c>
      <c r="L249" s="8">
        <f t="shared" si="98"/>
        <v>0</v>
      </c>
      <c r="M249" s="15">
        <f t="shared" si="98"/>
        <v>0</v>
      </c>
      <c r="N249" s="8"/>
      <c r="O249" s="8"/>
      <c r="P249" s="11"/>
      <c r="Q249" s="11"/>
    </row>
    <row r="250" spans="1:17">
      <c r="A250" s="11"/>
      <c r="B250" s="8" t="s">
        <v>214</v>
      </c>
      <c r="C250" s="8" t="s">
        <v>35</v>
      </c>
      <c r="D250" s="8">
        <f t="shared" ref="D250:M250" si="99">LOG(D246+1,2)</f>
        <v>0</v>
      </c>
      <c r="E250" s="8">
        <f t="shared" si="99"/>
        <v>2.68929624116804</v>
      </c>
      <c r="F250" s="8">
        <f t="shared" si="99"/>
        <v>0</v>
      </c>
      <c r="G250" s="8">
        <f t="shared" si="99"/>
        <v>0</v>
      </c>
      <c r="H250" s="8">
        <f t="shared" si="99"/>
        <v>0</v>
      </c>
      <c r="I250" s="8">
        <f t="shared" si="99"/>
        <v>0</v>
      </c>
      <c r="J250" s="8">
        <f t="shared" si="99"/>
        <v>3.64270800121646</v>
      </c>
      <c r="K250" s="8">
        <f t="shared" si="99"/>
        <v>1.46707531966117</v>
      </c>
      <c r="L250" s="8">
        <f t="shared" si="99"/>
        <v>3.56256461280198</v>
      </c>
      <c r="M250" s="15">
        <f t="shared" si="99"/>
        <v>4.03794623445859</v>
      </c>
      <c r="N250" s="8"/>
      <c r="O250" s="8"/>
      <c r="P250" s="11"/>
      <c r="Q250" s="11"/>
    </row>
    <row r="251" spans="1:1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>
      <c r="A253" s="8" t="s">
        <v>215</v>
      </c>
      <c r="B253" s="8" t="s">
        <v>188</v>
      </c>
      <c r="C253" s="8" t="s">
        <v>189</v>
      </c>
      <c r="D253" s="8">
        <v>2.09317472853514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0.924222577742226</v>
      </c>
      <c r="K253" s="8">
        <v>0</v>
      </c>
      <c r="L253" s="8">
        <v>0</v>
      </c>
      <c r="M253" s="8">
        <v>0</v>
      </c>
      <c r="N253" s="11"/>
      <c r="O253" s="11"/>
      <c r="P253" s="11"/>
      <c r="Q253" s="11"/>
    </row>
    <row r="254" spans="1:17">
      <c r="A254" s="8" t="s">
        <v>215</v>
      </c>
      <c r="B254" s="8" t="s">
        <v>190</v>
      </c>
      <c r="C254" s="8" t="s">
        <v>191</v>
      </c>
      <c r="D254" s="8">
        <v>0</v>
      </c>
      <c r="E254" s="8">
        <v>3.84428742378483</v>
      </c>
      <c r="F254" s="8">
        <v>0</v>
      </c>
      <c r="G254" s="8">
        <v>0</v>
      </c>
      <c r="H254" s="8">
        <v>0</v>
      </c>
      <c r="I254" s="8">
        <v>0</v>
      </c>
      <c r="J254" s="8">
        <v>1.10806187390365</v>
      </c>
      <c r="K254" s="8">
        <v>0</v>
      </c>
      <c r="L254" s="8">
        <v>0</v>
      </c>
      <c r="M254" s="8">
        <v>0</v>
      </c>
      <c r="N254" s="11"/>
      <c r="O254" s="11"/>
      <c r="P254" s="11"/>
      <c r="Q254" s="11"/>
    </row>
    <row r="255" spans="1:17">
      <c r="A255" s="8" t="s">
        <v>215</v>
      </c>
      <c r="B255" s="8" t="s">
        <v>192</v>
      </c>
      <c r="C255" s="8" t="s">
        <v>193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11"/>
      <c r="O255" s="11"/>
      <c r="P255" s="11"/>
      <c r="Q255" s="11"/>
    </row>
    <row r="256" spans="1:17">
      <c r="A256" s="8" t="s">
        <v>215</v>
      </c>
      <c r="B256" s="8" t="s">
        <v>192</v>
      </c>
      <c r="C256" s="8" t="s">
        <v>194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11"/>
      <c r="O256" s="11"/>
      <c r="P256" s="11"/>
      <c r="Q256" s="11"/>
    </row>
    <row r="257" spans="1:17">
      <c r="A257" s="8" t="s">
        <v>215</v>
      </c>
      <c r="B257" s="8" t="s">
        <v>195</v>
      </c>
      <c r="C257" s="8" t="s">
        <v>196</v>
      </c>
      <c r="D257" s="8">
        <v>0</v>
      </c>
      <c r="E257" s="8">
        <v>0</v>
      </c>
      <c r="F257" s="8">
        <v>0</v>
      </c>
      <c r="G257" s="8">
        <v>5.95329858755287</v>
      </c>
      <c r="H257" s="8">
        <v>0</v>
      </c>
      <c r="I257" s="8">
        <v>0</v>
      </c>
      <c r="J257" s="8">
        <v>0</v>
      </c>
      <c r="K257" s="8">
        <v>0</v>
      </c>
      <c r="L257" s="8">
        <v>1.44916991292274</v>
      </c>
      <c r="M257" s="8">
        <v>0</v>
      </c>
      <c r="N257" s="11"/>
      <c r="O257" s="11"/>
      <c r="P257" s="11"/>
      <c r="Q257" s="11"/>
    </row>
    <row r="258" spans="1:17">
      <c r="A258" s="8" t="s">
        <v>215</v>
      </c>
      <c r="B258" s="8" t="s">
        <v>195</v>
      </c>
      <c r="C258" s="8" t="s">
        <v>197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11"/>
      <c r="O258" s="11"/>
      <c r="P258" s="11"/>
      <c r="Q258" s="11"/>
    </row>
    <row r="259" spans="1:17">
      <c r="A259" s="8" t="s">
        <v>215</v>
      </c>
      <c r="B259" s="8" t="s">
        <v>198</v>
      </c>
      <c r="C259" s="8" t="s">
        <v>199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11"/>
      <c r="O259" s="11"/>
      <c r="P259" s="11"/>
      <c r="Q259" s="11"/>
    </row>
    <row r="260" spans="1:17">
      <c r="A260" s="8" t="s">
        <v>215</v>
      </c>
      <c r="B260" s="8" t="s">
        <v>36</v>
      </c>
      <c r="C260" s="8" t="s">
        <v>130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7.05371503828341</v>
      </c>
      <c r="K260" s="8">
        <v>0</v>
      </c>
      <c r="L260" s="8">
        <v>0</v>
      </c>
      <c r="M260" s="8">
        <v>0</v>
      </c>
      <c r="N260" s="11"/>
      <c r="O260" s="11"/>
      <c r="P260" s="11"/>
      <c r="Q260" s="11"/>
    </row>
    <row r="261" spans="1:17">
      <c r="A261" s="8" t="s">
        <v>215</v>
      </c>
      <c r="B261" s="8" t="s">
        <v>200</v>
      </c>
      <c r="C261" s="8" t="s">
        <v>97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20.7849668054462</v>
      </c>
      <c r="K261" s="8">
        <v>7.19708927983409</v>
      </c>
      <c r="L261" s="8">
        <v>0</v>
      </c>
      <c r="M261" s="8">
        <v>1.08918777401932</v>
      </c>
      <c r="N261" s="11"/>
      <c r="O261" s="11"/>
      <c r="P261" s="11"/>
      <c r="Q261" s="11"/>
    </row>
    <row r="262" spans="1:17">
      <c r="A262" s="8" t="s">
        <v>215</v>
      </c>
      <c r="B262" s="8" t="s">
        <v>200</v>
      </c>
      <c r="C262" s="8" t="s">
        <v>98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3.94998283505232</v>
      </c>
      <c r="M262" s="8">
        <v>0</v>
      </c>
      <c r="N262" s="11"/>
      <c r="O262" s="11"/>
      <c r="P262" s="11"/>
      <c r="Q262" s="11"/>
    </row>
    <row r="263" spans="1:17">
      <c r="A263" s="8" t="s">
        <v>215</v>
      </c>
      <c r="B263" s="8" t="s">
        <v>200</v>
      </c>
      <c r="C263" s="8" t="s">
        <v>95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2.63128466816115</v>
      </c>
      <c r="L263" s="8">
        <v>0</v>
      </c>
      <c r="M263" s="8">
        <v>0</v>
      </c>
      <c r="N263" s="11"/>
      <c r="O263" s="11"/>
      <c r="P263" s="11"/>
      <c r="Q263" s="11"/>
    </row>
    <row r="264" spans="1:17">
      <c r="A264" s="8" t="s">
        <v>215</v>
      </c>
      <c r="B264" s="8" t="s">
        <v>200</v>
      </c>
      <c r="C264" s="8" t="s">
        <v>93</v>
      </c>
      <c r="D264" s="8">
        <v>0</v>
      </c>
      <c r="E264" s="8">
        <v>1.93437080072173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6.58398682305567</v>
      </c>
      <c r="L264" s="8">
        <v>0</v>
      </c>
      <c r="M264" s="8">
        <v>0</v>
      </c>
      <c r="N264" s="11"/>
      <c r="O264" s="11"/>
      <c r="P264" s="11"/>
      <c r="Q264" s="11"/>
    </row>
    <row r="265" spans="1:17">
      <c r="A265" s="8" t="s">
        <v>215</v>
      </c>
      <c r="B265" s="8" t="s">
        <v>200</v>
      </c>
      <c r="C265" s="8" t="s">
        <v>96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1.05399116779175</v>
      </c>
      <c r="N265" s="11"/>
      <c r="O265" s="11"/>
      <c r="P265" s="11"/>
      <c r="Q265" s="11"/>
    </row>
    <row r="266" spans="1:17">
      <c r="A266" s="8" t="s">
        <v>215</v>
      </c>
      <c r="B266" s="8" t="s">
        <v>200</v>
      </c>
      <c r="C266" s="8" t="s">
        <v>94</v>
      </c>
      <c r="D266" s="8">
        <v>0</v>
      </c>
      <c r="E266" s="8">
        <v>0.288733716232131</v>
      </c>
      <c r="F266" s="8">
        <v>0</v>
      </c>
      <c r="G266" s="8">
        <v>0</v>
      </c>
      <c r="H266" s="8">
        <v>0</v>
      </c>
      <c r="I266" s="8">
        <v>1.25186342457045</v>
      </c>
      <c r="J266" s="8">
        <v>0</v>
      </c>
      <c r="K266" s="8">
        <v>0.433269927316875</v>
      </c>
      <c r="L266" s="8">
        <v>0.0545613759103124</v>
      </c>
      <c r="M266" s="8">
        <v>1.52684605454358</v>
      </c>
      <c r="N266" s="11"/>
      <c r="O266" s="11"/>
      <c r="P266" s="11"/>
      <c r="Q266" s="11"/>
    </row>
    <row r="267" spans="1:17">
      <c r="A267" s="8" t="s">
        <v>215</v>
      </c>
      <c r="B267" s="8" t="s">
        <v>201</v>
      </c>
      <c r="C267" s="8" t="s">
        <v>202</v>
      </c>
      <c r="D267" s="8">
        <v>0</v>
      </c>
      <c r="E267" s="8">
        <v>0</v>
      </c>
      <c r="F267" s="8">
        <v>0</v>
      </c>
      <c r="G267" s="8">
        <v>1.98949933516626</v>
      </c>
      <c r="H267" s="8">
        <v>0</v>
      </c>
      <c r="I267" s="8">
        <v>0</v>
      </c>
      <c r="J267" s="8">
        <v>0</v>
      </c>
      <c r="K267" s="8">
        <v>4.80518861176022</v>
      </c>
      <c r="L267" s="8">
        <v>2.60748596252081</v>
      </c>
      <c r="M267" s="8">
        <v>4.07765792317517</v>
      </c>
      <c r="N267" s="11"/>
      <c r="O267" s="11"/>
      <c r="P267" s="11"/>
      <c r="Q267" s="11"/>
    </row>
    <row r="268" spans="1:17">
      <c r="A268" s="11"/>
      <c r="B268" s="11"/>
      <c r="C268" s="11"/>
      <c r="D268" s="2" t="s">
        <v>185</v>
      </c>
      <c r="E268" s="3"/>
      <c r="F268" s="3"/>
      <c r="G268" s="3"/>
      <c r="H268" s="4"/>
      <c r="I268" s="5" t="s">
        <v>186</v>
      </c>
      <c r="J268" s="6"/>
      <c r="K268" s="6"/>
      <c r="L268" s="6"/>
      <c r="M268" s="7"/>
      <c r="N268" s="8" t="s">
        <v>203</v>
      </c>
      <c r="O268" s="8" t="s">
        <v>203</v>
      </c>
      <c r="P268" s="8" t="s">
        <v>248</v>
      </c>
      <c r="Q268" s="8" t="s">
        <v>248</v>
      </c>
    </row>
    <row r="269" spans="1:17">
      <c r="A269" s="11"/>
      <c r="B269" s="8" t="s">
        <v>215</v>
      </c>
      <c r="C269" s="8" t="s">
        <v>37</v>
      </c>
      <c r="D269" s="8">
        <f t="shared" ref="D269:M269" si="100">SUM(D253:D259)</f>
        <v>2.09317472853514</v>
      </c>
      <c r="E269" s="8">
        <f t="shared" si="100"/>
        <v>3.84428742378483</v>
      </c>
      <c r="F269" s="8">
        <f t="shared" si="100"/>
        <v>0</v>
      </c>
      <c r="G269" s="8">
        <f t="shared" si="100"/>
        <v>5.95329858755287</v>
      </c>
      <c r="H269" s="8">
        <f t="shared" si="100"/>
        <v>0</v>
      </c>
      <c r="I269" s="8">
        <f t="shared" si="100"/>
        <v>0</v>
      </c>
      <c r="J269" s="8">
        <f t="shared" si="100"/>
        <v>2.03228445164588</v>
      </c>
      <c r="K269" s="8">
        <f t="shared" si="100"/>
        <v>0</v>
      </c>
      <c r="L269" s="8">
        <f t="shared" si="100"/>
        <v>1.44916991292274</v>
      </c>
      <c r="M269" s="8">
        <f t="shared" si="100"/>
        <v>0</v>
      </c>
      <c r="N269" s="8">
        <f t="shared" ref="N269:N271" si="101">AVERAGE(D269:H269)</f>
        <v>2.37815214797457</v>
      </c>
      <c r="O269" s="8">
        <f t="shared" ref="O269:O271" si="102">AVERAGE(I269:M269)</f>
        <v>0.696290872913724</v>
      </c>
      <c r="P269" s="8">
        <f t="shared" ref="P269:P271" si="103">LOG(N269+1,2)</f>
        <v>1.75623430687975</v>
      </c>
      <c r="Q269" s="8">
        <f t="shared" ref="Q269:Q271" si="104">LOG(O269+1,2)</f>
        <v>0.762383578467717</v>
      </c>
    </row>
    <row r="270" spans="1:17">
      <c r="A270" s="11"/>
      <c r="B270" s="8" t="s">
        <v>215</v>
      </c>
      <c r="C270" s="8" t="s">
        <v>36</v>
      </c>
      <c r="D270" s="8">
        <f t="shared" ref="D270:M270" si="105">D260</f>
        <v>0</v>
      </c>
      <c r="E270" s="8">
        <f t="shared" si="105"/>
        <v>0</v>
      </c>
      <c r="F270" s="8">
        <f t="shared" si="105"/>
        <v>0</v>
      </c>
      <c r="G270" s="8">
        <f t="shared" si="105"/>
        <v>0</v>
      </c>
      <c r="H270" s="8">
        <f t="shared" si="105"/>
        <v>0</v>
      </c>
      <c r="I270" s="8">
        <f t="shared" si="105"/>
        <v>0</v>
      </c>
      <c r="J270" s="8">
        <f t="shared" si="105"/>
        <v>7.05371503828341</v>
      </c>
      <c r="K270" s="8">
        <f t="shared" si="105"/>
        <v>0</v>
      </c>
      <c r="L270" s="8">
        <f t="shared" si="105"/>
        <v>0</v>
      </c>
      <c r="M270" s="8">
        <f t="shared" si="105"/>
        <v>0</v>
      </c>
      <c r="N270" s="8">
        <f t="shared" si="101"/>
        <v>0</v>
      </c>
      <c r="O270" s="8">
        <f t="shared" si="102"/>
        <v>1.41074300765668</v>
      </c>
      <c r="P270" s="8">
        <f t="shared" si="103"/>
        <v>0</v>
      </c>
      <c r="Q270" s="8">
        <f t="shared" si="104"/>
        <v>1.26947786357391</v>
      </c>
    </row>
    <row r="271" spans="1:17">
      <c r="A271" s="11"/>
      <c r="B271" s="8" t="s">
        <v>215</v>
      </c>
      <c r="C271" s="8" t="s">
        <v>35</v>
      </c>
      <c r="D271" s="8">
        <f t="shared" ref="D271:M271" si="106">SUM(D261:D267)</f>
        <v>0</v>
      </c>
      <c r="E271" s="8">
        <f t="shared" si="106"/>
        <v>2.22310451695386</v>
      </c>
      <c r="F271" s="8">
        <f t="shared" si="106"/>
        <v>0</v>
      </c>
      <c r="G271" s="8">
        <f t="shared" si="106"/>
        <v>1.98949933516626</v>
      </c>
      <c r="H271" s="8">
        <f t="shared" si="106"/>
        <v>0</v>
      </c>
      <c r="I271" s="8">
        <f t="shared" si="106"/>
        <v>1.25186342457045</v>
      </c>
      <c r="J271" s="8">
        <f t="shared" si="106"/>
        <v>20.7849668054462</v>
      </c>
      <c r="K271" s="8">
        <f t="shared" si="106"/>
        <v>21.650819310128</v>
      </c>
      <c r="L271" s="8">
        <f t="shared" si="106"/>
        <v>6.61203017348344</v>
      </c>
      <c r="M271" s="8">
        <f t="shared" si="106"/>
        <v>7.7476829195298</v>
      </c>
      <c r="N271" s="8">
        <f t="shared" si="101"/>
        <v>0.842520770424025</v>
      </c>
      <c r="O271" s="8">
        <f t="shared" si="102"/>
        <v>11.6094725266316</v>
      </c>
      <c r="P271" s="8">
        <f t="shared" si="103"/>
        <v>0.881680882668426</v>
      </c>
      <c r="Q271" s="8">
        <f t="shared" si="104"/>
        <v>3.65643602169313</v>
      </c>
    </row>
    <row r="272" spans="1:1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8"/>
      <c r="O272" s="8"/>
      <c r="P272" s="11"/>
      <c r="Q272" s="11"/>
    </row>
    <row r="273" spans="1:17">
      <c r="A273" s="11"/>
      <c r="B273" s="8" t="s">
        <v>215</v>
      </c>
      <c r="C273" s="8" t="s">
        <v>37</v>
      </c>
      <c r="D273" s="8">
        <f t="shared" ref="D273:M273" si="107">LOG(D269+1,2)</f>
        <v>1.62908833128402</v>
      </c>
      <c r="E273" s="8">
        <f t="shared" si="107"/>
        <v>2.27628446630541</v>
      </c>
      <c r="F273" s="8">
        <f t="shared" si="107"/>
        <v>0</v>
      </c>
      <c r="G273" s="8">
        <f t="shared" si="107"/>
        <v>2.79769754286419</v>
      </c>
      <c r="H273" s="8">
        <f t="shared" si="107"/>
        <v>0</v>
      </c>
      <c r="I273" s="8">
        <f t="shared" si="107"/>
        <v>0</v>
      </c>
      <c r="J273" s="8">
        <f t="shared" si="107"/>
        <v>1.60040509576825</v>
      </c>
      <c r="K273" s="8">
        <f t="shared" si="107"/>
        <v>0</v>
      </c>
      <c r="L273" s="8">
        <f t="shared" si="107"/>
        <v>1.29229286537911</v>
      </c>
      <c r="M273" s="15">
        <f t="shared" si="107"/>
        <v>0</v>
      </c>
      <c r="N273" s="8"/>
      <c r="O273" s="8"/>
      <c r="P273" s="11"/>
      <c r="Q273" s="11"/>
    </row>
    <row r="274" spans="1:17">
      <c r="A274" s="11"/>
      <c r="B274" s="8" t="s">
        <v>215</v>
      </c>
      <c r="C274" s="8" t="s">
        <v>36</v>
      </c>
      <c r="D274" s="8">
        <f t="shared" ref="D274:M274" si="108">LOG(D270+1,2)</f>
        <v>0</v>
      </c>
      <c r="E274" s="8">
        <f t="shared" si="108"/>
        <v>0</v>
      </c>
      <c r="F274" s="8">
        <f t="shared" si="108"/>
        <v>0</v>
      </c>
      <c r="G274" s="8">
        <f t="shared" si="108"/>
        <v>0</v>
      </c>
      <c r="H274" s="8">
        <f t="shared" si="108"/>
        <v>0</v>
      </c>
      <c r="I274" s="8">
        <f t="shared" si="108"/>
        <v>0</v>
      </c>
      <c r="J274" s="8">
        <f t="shared" si="108"/>
        <v>3.00965442682446</v>
      </c>
      <c r="K274" s="8">
        <f t="shared" si="108"/>
        <v>0</v>
      </c>
      <c r="L274" s="8">
        <f t="shared" si="108"/>
        <v>0</v>
      </c>
      <c r="M274" s="15">
        <f t="shared" si="108"/>
        <v>0</v>
      </c>
      <c r="N274" s="8"/>
      <c r="O274" s="8"/>
      <c r="P274" s="11"/>
      <c r="Q274" s="11"/>
    </row>
    <row r="275" spans="1:17">
      <c r="A275" s="11"/>
      <c r="B275" s="8" t="s">
        <v>215</v>
      </c>
      <c r="C275" s="8" t="s">
        <v>35</v>
      </c>
      <c r="D275" s="8">
        <f t="shared" ref="D275:M275" si="109">LOG(D271+1,2)</f>
        <v>0</v>
      </c>
      <c r="E275" s="8">
        <f t="shared" si="109"/>
        <v>1.68845097202954</v>
      </c>
      <c r="F275" s="8">
        <f t="shared" si="109"/>
        <v>0</v>
      </c>
      <c r="G275" s="8">
        <f t="shared" si="109"/>
        <v>1.5799038900577</v>
      </c>
      <c r="H275" s="8">
        <f t="shared" si="109"/>
        <v>0</v>
      </c>
      <c r="I275" s="8">
        <f t="shared" si="109"/>
        <v>1.17111933067306</v>
      </c>
      <c r="J275" s="8">
        <f t="shared" si="109"/>
        <v>4.44526100985471</v>
      </c>
      <c r="K275" s="8">
        <f t="shared" si="109"/>
        <v>4.50149133029268</v>
      </c>
      <c r="L275" s="8">
        <f t="shared" si="109"/>
        <v>2.9282812803519</v>
      </c>
      <c r="M275" s="15">
        <f t="shared" si="109"/>
        <v>3.12890092743762</v>
      </c>
      <c r="N275" s="8"/>
      <c r="O275" s="8"/>
      <c r="P275" s="11"/>
      <c r="Q275" s="11"/>
    </row>
    <row r="276" spans="1:1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>
      <c r="A278" s="8" t="s">
        <v>216</v>
      </c>
      <c r="B278" s="8" t="s">
        <v>188</v>
      </c>
      <c r="C278" s="8" t="s">
        <v>189</v>
      </c>
      <c r="D278" s="8">
        <v>0</v>
      </c>
      <c r="E278" s="8">
        <v>0</v>
      </c>
      <c r="F278" s="8">
        <v>0</v>
      </c>
      <c r="G278" s="8">
        <v>1.70433876942954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11"/>
      <c r="O278" s="11"/>
      <c r="P278" s="11"/>
      <c r="Q278" s="11"/>
    </row>
    <row r="279" spans="1:17">
      <c r="A279" s="8" t="s">
        <v>216</v>
      </c>
      <c r="B279" s="8" t="s">
        <v>190</v>
      </c>
      <c r="C279" s="8" t="s">
        <v>191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11"/>
      <c r="O279" s="11"/>
      <c r="P279" s="11"/>
      <c r="Q279" s="11"/>
    </row>
    <row r="280" spans="1:17">
      <c r="A280" s="8" t="s">
        <v>216</v>
      </c>
      <c r="B280" s="8" t="s">
        <v>192</v>
      </c>
      <c r="C280" s="8" t="s">
        <v>193</v>
      </c>
      <c r="D280" s="8">
        <v>0</v>
      </c>
      <c r="E280" s="8">
        <v>0</v>
      </c>
      <c r="F280" s="8">
        <v>0</v>
      </c>
      <c r="G280" s="8">
        <v>4.7003069227965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11"/>
      <c r="O280" s="11"/>
      <c r="P280" s="11"/>
      <c r="Q280" s="11"/>
    </row>
    <row r="281" spans="1:17">
      <c r="A281" s="8" t="s">
        <v>216</v>
      </c>
      <c r="B281" s="8" t="s">
        <v>192</v>
      </c>
      <c r="C281" s="8" t="s">
        <v>194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11"/>
      <c r="O281" s="11"/>
      <c r="P281" s="11"/>
      <c r="Q281" s="11"/>
    </row>
    <row r="282" spans="1:17">
      <c r="A282" s="8" t="s">
        <v>216</v>
      </c>
      <c r="B282" s="8" t="s">
        <v>195</v>
      </c>
      <c r="C282" s="8" t="s">
        <v>196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8.4221544330122</v>
      </c>
      <c r="N282" s="11"/>
      <c r="O282" s="11"/>
      <c r="P282" s="11"/>
      <c r="Q282" s="11"/>
    </row>
    <row r="283" spans="1:17">
      <c r="A283" s="8" t="s">
        <v>216</v>
      </c>
      <c r="B283" s="8" t="s">
        <v>195</v>
      </c>
      <c r="C283" s="8" t="s">
        <v>197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3.66784161425134</v>
      </c>
      <c r="M283" s="8">
        <v>13.7545039030108</v>
      </c>
      <c r="N283" s="11"/>
      <c r="O283" s="11"/>
      <c r="P283" s="11"/>
      <c r="Q283" s="11"/>
    </row>
    <row r="284" spans="1:17">
      <c r="A284" s="8" t="s">
        <v>216</v>
      </c>
      <c r="B284" s="8" t="s">
        <v>198</v>
      </c>
      <c r="C284" s="8" t="s">
        <v>199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11"/>
      <c r="O284" s="11"/>
      <c r="P284" s="11"/>
      <c r="Q284" s="11"/>
    </row>
    <row r="285" spans="1:17">
      <c r="A285" s="8" t="s">
        <v>216</v>
      </c>
      <c r="B285" s="8" t="s">
        <v>36</v>
      </c>
      <c r="C285" s="8" t="s">
        <v>130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11"/>
      <c r="O285" s="11"/>
      <c r="P285" s="11"/>
      <c r="Q285" s="11"/>
    </row>
    <row r="286" spans="1:17">
      <c r="A286" s="8" t="s">
        <v>216</v>
      </c>
      <c r="B286" s="8" t="s">
        <v>200</v>
      </c>
      <c r="C286" s="8" t="s">
        <v>97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3.13984757160005</v>
      </c>
      <c r="J286" s="8">
        <v>0</v>
      </c>
      <c r="K286" s="8">
        <v>13.4414302032894</v>
      </c>
      <c r="L286" s="8">
        <v>13.8756793227594</v>
      </c>
      <c r="M286" s="8">
        <v>0</v>
      </c>
      <c r="N286" s="11"/>
      <c r="O286" s="11"/>
      <c r="P286" s="11"/>
      <c r="Q286" s="11"/>
    </row>
    <row r="287" spans="1:17">
      <c r="A287" s="8" t="s">
        <v>216</v>
      </c>
      <c r="B287" s="8" t="s">
        <v>200</v>
      </c>
      <c r="C287" s="8" t="s">
        <v>98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4.00127719000521</v>
      </c>
      <c r="M287" s="8">
        <v>0</v>
      </c>
      <c r="N287" s="11"/>
      <c r="O287" s="11"/>
      <c r="P287" s="11"/>
      <c r="Q287" s="11"/>
    </row>
    <row r="288" spans="1:17">
      <c r="A288" s="8" t="s">
        <v>216</v>
      </c>
      <c r="B288" s="8" t="s">
        <v>200</v>
      </c>
      <c r="C288" s="8" t="s">
        <v>95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7.77664361693896</v>
      </c>
      <c r="L288" s="8">
        <v>0.0666880967020237</v>
      </c>
      <c r="M288" s="8">
        <v>5.251169381756</v>
      </c>
      <c r="N288" s="11"/>
      <c r="O288" s="11"/>
      <c r="P288" s="11"/>
      <c r="Q288" s="11"/>
    </row>
    <row r="289" spans="1:17">
      <c r="A289" s="8" t="s">
        <v>216</v>
      </c>
      <c r="B289" s="8" t="s">
        <v>200</v>
      </c>
      <c r="C289" s="8" t="s">
        <v>93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5.22716530245818</v>
      </c>
      <c r="L289" s="8">
        <v>0.45551771000718</v>
      </c>
      <c r="M289" s="8">
        <v>0</v>
      </c>
      <c r="N289" s="11"/>
      <c r="O289" s="11"/>
      <c r="P289" s="11"/>
      <c r="Q289" s="11"/>
    </row>
    <row r="290" spans="1:17">
      <c r="A290" s="8" t="s">
        <v>216</v>
      </c>
      <c r="B290" s="8" t="s">
        <v>200</v>
      </c>
      <c r="C290" s="8" t="s">
        <v>96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1.4671329169921</v>
      </c>
      <c r="M290" s="8">
        <v>0</v>
      </c>
      <c r="N290" s="11"/>
      <c r="O290" s="11"/>
      <c r="P290" s="11"/>
      <c r="Q290" s="11"/>
    </row>
    <row r="291" spans="1:17">
      <c r="A291" s="8" t="s">
        <v>216</v>
      </c>
      <c r="B291" s="8" t="s">
        <v>200</v>
      </c>
      <c r="C291" s="8" t="s">
        <v>94</v>
      </c>
      <c r="D291" s="8">
        <v>0</v>
      </c>
      <c r="E291" s="8">
        <v>0</v>
      </c>
      <c r="F291" s="8">
        <v>0</v>
      </c>
      <c r="G291" s="8">
        <v>1.90775795168016</v>
      </c>
      <c r="H291" s="8">
        <v>0</v>
      </c>
      <c r="I291" s="8">
        <v>6.72824043671211</v>
      </c>
      <c r="J291" s="8">
        <v>0</v>
      </c>
      <c r="K291" s="8">
        <v>0.467119527655457</v>
      </c>
      <c r="L291" s="8">
        <v>0.533503036088351</v>
      </c>
      <c r="M291" s="8">
        <v>1.06384761247308</v>
      </c>
      <c r="N291" s="11"/>
      <c r="O291" s="11"/>
      <c r="P291" s="11"/>
      <c r="Q291" s="11"/>
    </row>
    <row r="292" spans="1:17">
      <c r="A292" s="8" t="s">
        <v>216</v>
      </c>
      <c r="B292" s="8" t="s">
        <v>201</v>
      </c>
      <c r="C292" s="8" t="s">
        <v>202</v>
      </c>
      <c r="D292" s="8">
        <v>0</v>
      </c>
      <c r="E292" s="8">
        <v>0</v>
      </c>
      <c r="F292" s="8">
        <v>0</v>
      </c>
      <c r="G292" s="8">
        <v>3.18836685698648</v>
      </c>
      <c r="H292" s="8">
        <v>0</v>
      </c>
      <c r="I292" s="8">
        <v>0</v>
      </c>
      <c r="J292" s="8">
        <v>0</v>
      </c>
      <c r="K292" s="8">
        <v>0</v>
      </c>
      <c r="L292" s="8">
        <v>0.631614349957419</v>
      </c>
      <c r="M292" s="8">
        <v>2.82755495586664</v>
      </c>
      <c r="N292" s="11"/>
      <c r="O292" s="11"/>
      <c r="P292" s="11"/>
      <c r="Q292" s="11"/>
    </row>
    <row r="293" spans="1:17">
      <c r="A293" s="11"/>
      <c r="B293" s="11"/>
      <c r="C293" s="11"/>
      <c r="D293" s="2" t="s">
        <v>185</v>
      </c>
      <c r="E293" s="3"/>
      <c r="F293" s="3"/>
      <c r="G293" s="3"/>
      <c r="H293" s="4"/>
      <c r="I293" s="5" t="s">
        <v>186</v>
      </c>
      <c r="J293" s="6"/>
      <c r="K293" s="6"/>
      <c r="L293" s="6"/>
      <c r="M293" s="7"/>
      <c r="N293" s="8" t="s">
        <v>203</v>
      </c>
      <c r="O293" s="8" t="s">
        <v>203</v>
      </c>
      <c r="P293" s="8" t="s">
        <v>248</v>
      </c>
      <c r="Q293" s="8" t="s">
        <v>248</v>
      </c>
    </row>
    <row r="294" spans="1:17">
      <c r="A294" s="11"/>
      <c r="B294" s="8" t="s">
        <v>216</v>
      </c>
      <c r="C294" s="8" t="s">
        <v>37</v>
      </c>
      <c r="D294" s="8">
        <f t="shared" ref="D294:M294" si="110">SUM(D278:D284)</f>
        <v>0</v>
      </c>
      <c r="E294" s="8">
        <f t="shared" si="110"/>
        <v>0</v>
      </c>
      <c r="F294" s="8">
        <f t="shared" si="110"/>
        <v>0</v>
      </c>
      <c r="G294" s="8">
        <f t="shared" si="110"/>
        <v>6.40464569222604</v>
      </c>
      <c r="H294" s="8">
        <f t="shared" si="110"/>
        <v>0</v>
      </c>
      <c r="I294" s="8">
        <f t="shared" si="110"/>
        <v>0</v>
      </c>
      <c r="J294" s="8">
        <f t="shared" si="110"/>
        <v>0</v>
      </c>
      <c r="K294" s="8">
        <f t="shared" si="110"/>
        <v>0</v>
      </c>
      <c r="L294" s="8">
        <f t="shared" si="110"/>
        <v>3.66784161425134</v>
      </c>
      <c r="M294" s="8">
        <f t="shared" si="110"/>
        <v>22.176658336023</v>
      </c>
      <c r="N294" s="8">
        <f t="shared" ref="N294:N296" si="111">AVERAGE(D294:H294)</f>
        <v>1.28092913844521</v>
      </c>
      <c r="O294" s="8">
        <f t="shared" ref="O294:O296" si="112">AVERAGE(I294:M294)</f>
        <v>5.16889999005487</v>
      </c>
      <c r="P294" s="8">
        <f t="shared" ref="P294:P296" si="113">LOG(N294+1,2)</f>
        <v>1.18962162718416</v>
      </c>
      <c r="Q294" s="8">
        <f t="shared" ref="Q294:Q296" si="114">LOG(O294+1,2)</f>
        <v>2.62501325754718</v>
      </c>
    </row>
    <row r="295" spans="1:17">
      <c r="A295" s="11"/>
      <c r="B295" s="8" t="s">
        <v>216</v>
      </c>
      <c r="C295" s="8" t="s">
        <v>36</v>
      </c>
      <c r="D295" s="8">
        <f t="shared" ref="D295:M295" si="115">D285</f>
        <v>0</v>
      </c>
      <c r="E295" s="8">
        <f t="shared" si="115"/>
        <v>0</v>
      </c>
      <c r="F295" s="8">
        <f t="shared" si="115"/>
        <v>0</v>
      </c>
      <c r="G295" s="8">
        <f t="shared" si="115"/>
        <v>0</v>
      </c>
      <c r="H295" s="8">
        <f t="shared" si="115"/>
        <v>0</v>
      </c>
      <c r="I295" s="8">
        <f t="shared" si="115"/>
        <v>0</v>
      </c>
      <c r="J295" s="8">
        <f t="shared" si="115"/>
        <v>0</v>
      </c>
      <c r="K295" s="8">
        <f t="shared" si="115"/>
        <v>0</v>
      </c>
      <c r="L295" s="8">
        <f t="shared" si="115"/>
        <v>0</v>
      </c>
      <c r="M295" s="8">
        <f t="shared" si="115"/>
        <v>0</v>
      </c>
      <c r="N295" s="8">
        <f t="shared" si="111"/>
        <v>0</v>
      </c>
      <c r="O295" s="8">
        <f t="shared" si="112"/>
        <v>0</v>
      </c>
      <c r="P295" s="8">
        <f t="shared" si="113"/>
        <v>0</v>
      </c>
      <c r="Q295" s="8">
        <f t="shared" si="114"/>
        <v>0</v>
      </c>
    </row>
    <row r="296" spans="1:17">
      <c r="A296" s="11"/>
      <c r="B296" s="8" t="s">
        <v>216</v>
      </c>
      <c r="C296" s="8" t="s">
        <v>35</v>
      </c>
      <c r="D296" s="8">
        <f t="shared" ref="D296:M296" si="116">SUM(D286:D292)</f>
        <v>0</v>
      </c>
      <c r="E296" s="8">
        <f t="shared" si="116"/>
        <v>0</v>
      </c>
      <c r="F296" s="8">
        <f t="shared" si="116"/>
        <v>0</v>
      </c>
      <c r="G296" s="8">
        <f t="shared" si="116"/>
        <v>5.09612480866664</v>
      </c>
      <c r="H296" s="8">
        <f t="shared" si="116"/>
        <v>0</v>
      </c>
      <c r="I296" s="8">
        <f t="shared" si="116"/>
        <v>9.86808800831215</v>
      </c>
      <c r="J296" s="8">
        <f t="shared" si="116"/>
        <v>0</v>
      </c>
      <c r="K296" s="8">
        <f t="shared" si="116"/>
        <v>26.912358650342</v>
      </c>
      <c r="L296" s="8">
        <f t="shared" si="116"/>
        <v>21.0314126225116</v>
      </c>
      <c r="M296" s="8">
        <f t="shared" si="116"/>
        <v>9.14257195009572</v>
      </c>
      <c r="N296" s="8">
        <f t="shared" si="111"/>
        <v>1.01922496173333</v>
      </c>
      <c r="O296" s="8">
        <f t="shared" si="112"/>
        <v>13.3908862462523</v>
      </c>
      <c r="P296" s="8">
        <f t="shared" si="113"/>
        <v>1.01380165019255</v>
      </c>
      <c r="Q296" s="8">
        <f t="shared" si="114"/>
        <v>3.8470835364237</v>
      </c>
    </row>
    <row r="297" spans="1:1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8"/>
      <c r="O297" s="8"/>
      <c r="P297" s="11"/>
      <c r="Q297" s="11"/>
    </row>
    <row r="298" spans="1:17">
      <c r="A298" s="11"/>
      <c r="B298" s="8" t="s">
        <v>216</v>
      </c>
      <c r="C298" s="8" t="s">
        <v>37</v>
      </c>
      <c r="D298" s="8">
        <f t="shared" ref="D298:M298" si="117">LOG(D294+1,2)</f>
        <v>0</v>
      </c>
      <c r="E298" s="8">
        <f t="shared" si="117"/>
        <v>0</v>
      </c>
      <c r="F298" s="8">
        <f t="shared" si="117"/>
        <v>0</v>
      </c>
      <c r="G298" s="8">
        <f t="shared" si="117"/>
        <v>2.88843070508907</v>
      </c>
      <c r="H298" s="8">
        <f t="shared" si="117"/>
        <v>0</v>
      </c>
      <c r="I298" s="8">
        <f t="shared" si="117"/>
        <v>0</v>
      </c>
      <c r="J298" s="8">
        <f t="shared" si="117"/>
        <v>0</v>
      </c>
      <c r="K298" s="8">
        <f t="shared" si="117"/>
        <v>0</v>
      </c>
      <c r="L298" s="8">
        <f t="shared" si="117"/>
        <v>2.22275560941485</v>
      </c>
      <c r="M298" s="15">
        <f t="shared" si="117"/>
        <v>4.5346006651324</v>
      </c>
      <c r="N298" s="8"/>
      <c r="O298" s="8"/>
      <c r="P298" s="11"/>
      <c r="Q298" s="11"/>
    </row>
    <row r="299" spans="1:17">
      <c r="A299" s="11"/>
      <c r="B299" s="8" t="s">
        <v>216</v>
      </c>
      <c r="C299" s="8" t="s">
        <v>36</v>
      </c>
      <c r="D299" s="8">
        <f t="shared" ref="D299:M299" si="118">LOG(D295+1,2)</f>
        <v>0</v>
      </c>
      <c r="E299" s="8">
        <f t="shared" si="118"/>
        <v>0</v>
      </c>
      <c r="F299" s="8">
        <f t="shared" si="118"/>
        <v>0</v>
      </c>
      <c r="G299" s="8">
        <f t="shared" si="118"/>
        <v>0</v>
      </c>
      <c r="H299" s="8">
        <f t="shared" si="118"/>
        <v>0</v>
      </c>
      <c r="I299" s="8">
        <f t="shared" si="118"/>
        <v>0</v>
      </c>
      <c r="J299" s="8">
        <f t="shared" si="118"/>
        <v>0</v>
      </c>
      <c r="K299" s="8">
        <f t="shared" si="118"/>
        <v>0</v>
      </c>
      <c r="L299" s="8">
        <f t="shared" si="118"/>
        <v>0</v>
      </c>
      <c r="M299" s="15">
        <f t="shared" si="118"/>
        <v>0</v>
      </c>
      <c r="N299" s="8"/>
      <c r="O299" s="8"/>
      <c r="P299" s="11"/>
      <c r="Q299" s="11"/>
    </row>
    <row r="300" spans="1:17">
      <c r="A300" s="11"/>
      <c r="B300" s="8" t="s">
        <v>216</v>
      </c>
      <c r="C300" s="8" t="s">
        <v>35</v>
      </c>
      <c r="D300" s="8">
        <f t="shared" ref="D300:M300" si="119">LOG(D296+1,2)</f>
        <v>0</v>
      </c>
      <c r="E300" s="8">
        <f t="shared" si="119"/>
        <v>0</v>
      </c>
      <c r="F300" s="8">
        <f t="shared" si="119"/>
        <v>0</v>
      </c>
      <c r="G300" s="8">
        <f t="shared" si="119"/>
        <v>2.60789244006896</v>
      </c>
      <c r="H300" s="8">
        <f t="shared" si="119"/>
        <v>0</v>
      </c>
      <c r="I300" s="8">
        <f t="shared" si="119"/>
        <v>3.44202624835722</v>
      </c>
      <c r="J300" s="8">
        <f t="shared" si="119"/>
        <v>0</v>
      </c>
      <c r="K300" s="8">
        <f t="shared" si="119"/>
        <v>4.80283213506975</v>
      </c>
      <c r="L300" s="8">
        <f t="shared" si="119"/>
        <v>4.46149009642432</v>
      </c>
      <c r="M300" s="15">
        <f t="shared" si="119"/>
        <v>3.34235163176018</v>
      </c>
      <c r="N300" s="8"/>
      <c r="O300" s="8"/>
      <c r="P300" s="11"/>
      <c r="Q300" s="11"/>
    </row>
    <row r="301" spans="1:1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>
      <c r="A303" s="18" t="s">
        <v>217</v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1"/>
      <c r="O303" s="11"/>
      <c r="P303" s="11"/>
      <c r="Q303" s="11"/>
    </row>
    <row r="304" spans="1:17">
      <c r="A304" s="8" t="s">
        <v>218</v>
      </c>
      <c r="B304" s="8" t="s">
        <v>188</v>
      </c>
      <c r="C304" s="8" t="s">
        <v>189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11"/>
      <c r="O304" s="11"/>
      <c r="P304" s="11"/>
      <c r="Q304" s="11"/>
    </row>
    <row r="305" spans="1:17">
      <c r="A305" s="8" t="s">
        <v>218</v>
      </c>
      <c r="B305" s="8" t="s">
        <v>190</v>
      </c>
      <c r="C305" s="8" t="s">
        <v>191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11"/>
      <c r="O305" s="11"/>
      <c r="P305" s="11"/>
      <c r="Q305" s="11"/>
    </row>
    <row r="306" spans="1:17">
      <c r="A306" s="8" t="s">
        <v>218</v>
      </c>
      <c r="B306" s="8" t="s">
        <v>192</v>
      </c>
      <c r="C306" s="8" t="s">
        <v>193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11"/>
      <c r="O306" s="11"/>
      <c r="P306" s="11"/>
      <c r="Q306" s="11"/>
    </row>
    <row r="307" spans="1:17">
      <c r="A307" s="8" t="s">
        <v>218</v>
      </c>
      <c r="B307" s="8" t="s">
        <v>192</v>
      </c>
      <c r="C307" s="8" t="s">
        <v>194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11"/>
      <c r="O307" s="11"/>
      <c r="P307" s="11"/>
      <c r="Q307" s="11"/>
    </row>
    <row r="308" spans="1:17">
      <c r="A308" s="8" t="s">
        <v>218</v>
      </c>
      <c r="B308" s="8" t="s">
        <v>195</v>
      </c>
      <c r="C308" s="8" t="s">
        <v>196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11"/>
      <c r="O308" s="11"/>
      <c r="P308" s="11"/>
      <c r="Q308" s="11"/>
    </row>
    <row r="309" spans="1:17">
      <c r="A309" s="8" t="s">
        <v>218</v>
      </c>
      <c r="B309" s="8" t="s">
        <v>195</v>
      </c>
      <c r="C309" s="8" t="s">
        <v>197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11"/>
      <c r="O309" s="11"/>
      <c r="P309" s="11"/>
      <c r="Q309" s="11"/>
    </row>
    <row r="310" spans="1:17">
      <c r="A310" s="8" t="s">
        <v>218</v>
      </c>
      <c r="B310" s="8" t="s">
        <v>198</v>
      </c>
      <c r="C310" s="8" t="s">
        <v>199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11"/>
      <c r="O310" s="11"/>
      <c r="P310" s="11"/>
      <c r="Q310" s="11"/>
    </row>
    <row r="311" spans="1:17">
      <c r="A311" s="8" t="s">
        <v>218</v>
      </c>
      <c r="B311" s="8" t="s">
        <v>36</v>
      </c>
      <c r="C311" s="8" t="s">
        <v>130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11"/>
      <c r="O311" s="11"/>
      <c r="P311" s="11"/>
      <c r="Q311" s="11"/>
    </row>
    <row r="312" spans="1:17">
      <c r="A312" s="8" t="s">
        <v>218</v>
      </c>
      <c r="B312" s="8" t="s">
        <v>200</v>
      </c>
      <c r="C312" s="8" t="s">
        <v>97</v>
      </c>
      <c r="D312" s="8">
        <v>0</v>
      </c>
      <c r="E312" s="8">
        <v>1.47637055101361</v>
      </c>
      <c r="F312" s="8">
        <v>0</v>
      </c>
      <c r="G312" s="8">
        <v>9.11345677549965</v>
      </c>
      <c r="H312" s="8">
        <v>0</v>
      </c>
      <c r="I312" s="8">
        <v>130.209393422277</v>
      </c>
      <c r="J312" s="8">
        <v>0</v>
      </c>
      <c r="K312" s="8">
        <v>0</v>
      </c>
      <c r="L312" s="8">
        <v>6.4683538484421</v>
      </c>
      <c r="M312" s="8">
        <v>0</v>
      </c>
      <c r="N312" s="11"/>
      <c r="O312" s="11"/>
      <c r="P312" s="11"/>
      <c r="Q312" s="11"/>
    </row>
    <row r="313" spans="1:17">
      <c r="A313" s="8" t="s">
        <v>218</v>
      </c>
      <c r="B313" s="8" t="s">
        <v>200</v>
      </c>
      <c r="C313" s="8" t="s">
        <v>98</v>
      </c>
      <c r="D313" s="8">
        <v>0</v>
      </c>
      <c r="E313" s="8">
        <v>0.67103001237285</v>
      </c>
      <c r="F313" s="8">
        <v>0</v>
      </c>
      <c r="G313" s="8">
        <v>0</v>
      </c>
      <c r="H313" s="8">
        <v>0</v>
      </c>
      <c r="I313" s="8">
        <v>0</v>
      </c>
      <c r="J313" s="8">
        <v>6.1398882724712</v>
      </c>
      <c r="K313" s="8">
        <v>0</v>
      </c>
      <c r="L313" s="8">
        <v>12.2776631928751</v>
      </c>
      <c r="M313" s="8">
        <v>0</v>
      </c>
      <c r="N313" s="11"/>
      <c r="O313" s="11"/>
      <c r="P313" s="11"/>
      <c r="Q313" s="11"/>
    </row>
    <row r="314" spans="1:17">
      <c r="A314" s="8" t="s">
        <v>218</v>
      </c>
      <c r="B314" s="8" t="s">
        <v>200</v>
      </c>
      <c r="C314" s="8" t="s">
        <v>95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13.8083344327423</v>
      </c>
      <c r="M314" s="8">
        <v>0</v>
      </c>
      <c r="N314" s="11"/>
      <c r="O314" s="11"/>
      <c r="P314" s="11"/>
      <c r="Q314" s="11"/>
    </row>
    <row r="315" spans="1:17">
      <c r="A315" s="8" t="s">
        <v>218</v>
      </c>
      <c r="B315" s="8" t="s">
        <v>200</v>
      </c>
      <c r="C315" s="8" t="s">
        <v>93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11"/>
      <c r="O315" s="11"/>
      <c r="P315" s="11"/>
      <c r="Q315" s="11"/>
    </row>
    <row r="316" spans="1:17">
      <c r="A316" s="8" t="s">
        <v>218</v>
      </c>
      <c r="B316" s="8" t="s">
        <v>200</v>
      </c>
      <c r="C316" s="8" t="s">
        <v>96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11"/>
      <c r="O316" s="11"/>
      <c r="P316" s="11"/>
      <c r="Q316" s="11"/>
    </row>
    <row r="317" spans="1:17">
      <c r="A317" s="8" t="s">
        <v>218</v>
      </c>
      <c r="B317" s="8" t="s">
        <v>200</v>
      </c>
      <c r="C317" s="8" t="s">
        <v>94</v>
      </c>
      <c r="D317" s="8">
        <v>0</v>
      </c>
      <c r="E317" s="8">
        <v>0</v>
      </c>
      <c r="F317" s="8">
        <v>0.764884672892615</v>
      </c>
      <c r="G317" s="8">
        <v>2.55883226784574</v>
      </c>
      <c r="H317" s="8">
        <v>0</v>
      </c>
      <c r="I317" s="8">
        <v>0</v>
      </c>
      <c r="J317" s="8">
        <v>44.9678789530206</v>
      </c>
      <c r="K317" s="8">
        <v>5.30819868930488</v>
      </c>
      <c r="L317" s="8">
        <v>2.03096333734542</v>
      </c>
      <c r="M317" s="8">
        <v>0</v>
      </c>
      <c r="N317" s="11"/>
      <c r="O317" s="11"/>
      <c r="P317" s="11"/>
      <c r="Q317" s="11"/>
    </row>
    <row r="318" spans="1:17">
      <c r="A318" s="8" t="s">
        <v>218</v>
      </c>
      <c r="B318" s="8" t="s">
        <v>201</v>
      </c>
      <c r="C318" s="8" t="s">
        <v>202</v>
      </c>
      <c r="D318" s="8">
        <v>0</v>
      </c>
      <c r="E318" s="8">
        <v>1.54536331918031</v>
      </c>
      <c r="F318" s="8">
        <v>0</v>
      </c>
      <c r="G318" s="8">
        <v>3.93430044162941</v>
      </c>
      <c r="H318" s="8">
        <v>0</v>
      </c>
      <c r="I318" s="8">
        <v>0</v>
      </c>
      <c r="J318" s="8">
        <v>0</v>
      </c>
      <c r="K318" s="8">
        <v>0</v>
      </c>
      <c r="L318" s="8">
        <v>6.63248829315321</v>
      </c>
      <c r="M318" s="8">
        <v>11.6078446039747</v>
      </c>
      <c r="N318" s="11"/>
      <c r="O318" s="11"/>
      <c r="P318" s="11"/>
      <c r="Q318" s="11"/>
    </row>
    <row r="319" spans="1:17">
      <c r="A319" s="11"/>
      <c r="B319" s="11"/>
      <c r="C319" s="11"/>
      <c r="D319" s="2" t="s">
        <v>185</v>
      </c>
      <c r="E319" s="3"/>
      <c r="F319" s="3"/>
      <c r="G319" s="3"/>
      <c r="H319" s="4"/>
      <c r="I319" s="5" t="s">
        <v>186</v>
      </c>
      <c r="J319" s="6"/>
      <c r="K319" s="6"/>
      <c r="L319" s="6"/>
      <c r="M319" s="7"/>
      <c r="N319" s="8" t="s">
        <v>203</v>
      </c>
      <c r="O319" s="8" t="s">
        <v>203</v>
      </c>
      <c r="P319" s="8" t="s">
        <v>248</v>
      </c>
      <c r="Q319" s="8" t="s">
        <v>248</v>
      </c>
    </row>
    <row r="320" spans="1:17">
      <c r="A320" s="11"/>
      <c r="B320" s="8" t="s">
        <v>218</v>
      </c>
      <c r="C320" s="8" t="s">
        <v>37</v>
      </c>
      <c r="D320" s="8">
        <f t="shared" ref="D320:M320" si="120">SUM(D304:D310)</f>
        <v>0</v>
      </c>
      <c r="E320" s="8">
        <f t="shared" si="120"/>
        <v>0</v>
      </c>
      <c r="F320" s="8">
        <f t="shared" si="120"/>
        <v>0</v>
      </c>
      <c r="G320" s="8">
        <f t="shared" si="120"/>
        <v>0</v>
      </c>
      <c r="H320" s="8">
        <f t="shared" si="120"/>
        <v>0</v>
      </c>
      <c r="I320" s="8">
        <f t="shared" si="120"/>
        <v>0</v>
      </c>
      <c r="J320" s="8">
        <f t="shared" si="120"/>
        <v>0</v>
      </c>
      <c r="K320" s="8">
        <f t="shared" si="120"/>
        <v>0</v>
      </c>
      <c r="L320" s="8">
        <f t="shared" si="120"/>
        <v>0</v>
      </c>
      <c r="M320" s="8">
        <f t="shared" si="120"/>
        <v>0</v>
      </c>
      <c r="N320" s="8">
        <f t="shared" ref="N320:N322" si="121">AVERAGE(D320:H320)</f>
        <v>0</v>
      </c>
      <c r="O320" s="8">
        <f t="shared" ref="O320:O322" si="122">AVERAGE(I320:M320)</f>
        <v>0</v>
      </c>
      <c r="P320" s="8">
        <f t="shared" ref="P320:P322" si="123">LOG(N320+1,2)</f>
        <v>0</v>
      </c>
      <c r="Q320" s="8">
        <f t="shared" ref="Q320:Q322" si="124">LOG(O320+1,2)</f>
        <v>0</v>
      </c>
    </row>
    <row r="321" spans="1:17">
      <c r="A321" s="11"/>
      <c r="B321" s="8" t="s">
        <v>218</v>
      </c>
      <c r="C321" s="8" t="s">
        <v>36</v>
      </c>
      <c r="D321" s="8">
        <f t="shared" ref="D321:M321" si="125">D311</f>
        <v>0</v>
      </c>
      <c r="E321" s="8">
        <f t="shared" si="125"/>
        <v>0</v>
      </c>
      <c r="F321" s="8">
        <f t="shared" si="125"/>
        <v>0</v>
      </c>
      <c r="G321" s="8">
        <f t="shared" si="125"/>
        <v>0</v>
      </c>
      <c r="H321" s="8">
        <f t="shared" si="125"/>
        <v>0</v>
      </c>
      <c r="I321" s="8">
        <f t="shared" si="125"/>
        <v>0</v>
      </c>
      <c r="J321" s="8">
        <f t="shared" si="125"/>
        <v>0</v>
      </c>
      <c r="K321" s="8">
        <f t="shared" si="125"/>
        <v>0</v>
      </c>
      <c r="L321" s="8">
        <f t="shared" si="125"/>
        <v>0</v>
      </c>
      <c r="M321" s="8">
        <f t="shared" si="125"/>
        <v>0</v>
      </c>
      <c r="N321" s="8">
        <f t="shared" si="121"/>
        <v>0</v>
      </c>
      <c r="O321" s="8">
        <f t="shared" si="122"/>
        <v>0</v>
      </c>
      <c r="P321" s="8">
        <f t="shared" si="123"/>
        <v>0</v>
      </c>
      <c r="Q321" s="8">
        <f t="shared" si="124"/>
        <v>0</v>
      </c>
    </row>
    <row r="322" spans="1:17">
      <c r="A322" s="11"/>
      <c r="B322" s="8" t="s">
        <v>218</v>
      </c>
      <c r="C322" s="8" t="s">
        <v>35</v>
      </c>
      <c r="D322" s="8">
        <f t="shared" ref="D322:M322" si="126">SUM(D312:D318)</f>
        <v>0</v>
      </c>
      <c r="E322" s="8">
        <f t="shared" si="126"/>
        <v>3.69276388256677</v>
      </c>
      <c r="F322" s="8">
        <f t="shared" si="126"/>
        <v>0.764884672892615</v>
      </c>
      <c r="G322" s="8">
        <f t="shared" si="126"/>
        <v>15.6065894849748</v>
      </c>
      <c r="H322" s="8">
        <f t="shared" si="126"/>
        <v>0</v>
      </c>
      <c r="I322" s="8">
        <f t="shared" si="126"/>
        <v>130.209393422277</v>
      </c>
      <c r="J322" s="8">
        <f t="shared" si="126"/>
        <v>51.1077672254918</v>
      </c>
      <c r="K322" s="8">
        <f t="shared" si="126"/>
        <v>5.30819868930488</v>
      </c>
      <c r="L322" s="8">
        <f t="shared" si="126"/>
        <v>41.2178031045581</v>
      </c>
      <c r="M322" s="8">
        <f t="shared" si="126"/>
        <v>11.6078446039747</v>
      </c>
      <c r="N322" s="8">
        <f t="shared" si="121"/>
        <v>4.01284760808684</v>
      </c>
      <c r="O322" s="8">
        <f t="shared" si="122"/>
        <v>47.8902014091213</v>
      </c>
      <c r="P322" s="8">
        <f t="shared" si="123"/>
        <v>2.32563037647031</v>
      </c>
      <c r="Q322" s="8">
        <f t="shared" si="124"/>
        <v>5.61147344360306</v>
      </c>
    </row>
    <row r="323" spans="1:1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8"/>
      <c r="O323" s="8"/>
      <c r="P323" s="11"/>
      <c r="Q323" s="11"/>
    </row>
    <row r="324" spans="1:17">
      <c r="A324" s="11"/>
      <c r="B324" s="8" t="s">
        <v>218</v>
      </c>
      <c r="C324" s="8" t="s">
        <v>37</v>
      </c>
      <c r="D324" s="8">
        <f t="shared" ref="D324:M324" si="127">LOG(D320+1,2)</f>
        <v>0</v>
      </c>
      <c r="E324" s="8">
        <f t="shared" si="127"/>
        <v>0</v>
      </c>
      <c r="F324" s="8">
        <f t="shared" si="127"/>
        <v>0</v>
      </c>
      <c r="G324" s="8">
        <f t="shared" si="127"/>
        <v>0</v>
      </c>
      <c r="H324" s="8">
        <f t="shared" si="127"/>
        <v>0</v>
      </c>
      <c r="I324" s="8">
        <f t="shared" si="127"/>
        <v>0</v>
      </c>
      <c r="J324" s="8">
        <f t="shared" si="127"/>
        <v>0</v>
      </c>
      <c r="K324" s="8">
        <f t="shared" si="127"/>
        <v>0</v>
      </c>
      <c r="L324" s="8">
        <f t="shared" si="127"/>
        <v>0</v>
      </c>
      <c r="M324" s="15">
        <f t="shared" si="127"/>
        <v>0</v>
      </c>
      <c r="N324" s="8"/>
      <c r="O324" s="8"/>
      <c r="P324" s="11"/>
      <c r="Q324" s="11"/>
    </row>
    <row r="325" spans="1:17">
      <c r="A325" s="11"/>
      <c r="B325" s="8" t="s">
        <v>218</v>
      </c>
      <c r="C325" s="8" t="s">
        <v>36</v>
      </c>
      <c r="D325" s="8">
        <f t="shared" ref="D325:M325" si="128">LOG(D321+1,2)</f>
        <v>0</v>
      </c>
      <c r="E325" s="8">
        <f t="shared" si="128"/>
        <v>0</v>
      </c>
      <c r="F325" s="8">
        <f t="shared" si="128"/>
        <v>0</v>
      </c>
      <c r="G325" s="8">
        <f t="shared" si="128"/>
        <v>0</v>
      </c>
      <c r="H325" s="8">
        <f t="shared" si="128"/>
        <v>0</v>
      </c>
      <c r="I325" s="8">
        <f t="shared" si="128"/>
        <v>0</v>
      </c>
      <c r="J325" s="8">
        <f t="shared" si="128"/>
        <v>0</v>
      </c>
      <c r="K325" s="8">
        <f t="shared" si="128"/>
        <v>0</v>
      </c>
      <c r="L325" s="8">
        <f t="shared" si="128"/>
        <v>0</v>
      </c>
      <c r="M325" s="15">
        <f t="shared" si="128"/>
        <v>0</v>
      </c>
      <c r="N325" s="8"/>
      <c r="O325" s="8"/>
      <c r="P325" s="11"/>
      <c r="Q325" s="11"/>
    </row>
    <row r="326" spans="1:17">
      <c r="A326" s="11"/>
      <c r="B326" s="8" t="s">
        <v>218</v>
      </c>
      <c r="C326" s="8" t="s">
        <v>35</v>
      </c>
      <c r="D326" s="8">
        <f t="shared" ref="D326:M326" si="129">LOG(D322+1,2)</f>
        <v>0</v>
      </c>
      <c r="E326" s="8">
        <f t="shared" si="129"/>
        <v>2.2304378726782</v>
      </c>
      <c r="F326" s="8">
        <f t="shared" si="129"/>
        <v>0.819573913081764</v>
      </c>
      <c r="G326" s="8">
        <f t="shared" si="129"/>
        <v>4.05368391061231</v>
      </c>
      <c r="H326" s="8">
        <f t="shared" si="129"/>
        <v>0</v>
      </c>
      <c r="I326" s="8">
        <f t="shared" si="129"/>
        <v>7.03572719752515</v>
      </c>
      <c r="J326" s="8">
        <f t="shared" si="129"/>
        <v>5.70342653269803</v>
      </c>
      <c r="K326" s="8">
        <f t="shared" si="129"/>
        <v>2.65722810140308</v>
      </c>
      <c r="L326" s="8">
        <f t="shared" si="129"/>
        <v>5.39977960174338</v>
      </c>
      <c r="M326" s="15">
        <f t="shared" si="129"/>
        <v>3.65624975319081</v>
      </c>
      <c r="N326" s="8">
        <v>0.013272</v>
      </c>
      <c r="O326" s="8" t="s">
        <v>251</v>
      </c>
      <c r="P326" s="11"/>
      <c r="Q326" s="11"/>
    </row>
    <row r="327" spans="1:1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>
      <c r="A329" s="8" t="s">
        <v>219</v>
      </c>
      <c r="B329" s="8" t="s">
        <v>188</v>
      </c>
      <c r="C329" s="8" t="s">
        <v>189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11"/>
      <c r="O329" s="11"/>
      <c r="P329" s="11"/>
      <c r="Q329" s="11"/>
    </row>
    <row r="330" spans="1:17">
      <c r="A330" s="8" t="s">
        <v>219</v>
      </c>
      <c r="B330" s="8" t="s">
        <v>190</v>
      </c>
      <c r="C330" s="8" t="s">
        <v>191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11"/>
      <c r="O330" s="11"/>
      <c r="P330" s="11"/>
      <c r="Q330" s="11"/>
    </row>
    <row r="331" spans="1:17">
      <c r="A331" s="8" t="s">
        <v>219</v>
      </c>
      <c r="B331" s="8" t="s">
        <v>192</v>
      </c>
      <c r="C331" s="8" t="s">
        <v>193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11"/>
      <c r="O331" s="11"/>
      <c r="P331" s="11"/>
      <c r="Q331" s="11"/>
    </row>
    <row r="332" spans="1:17">
      <c r="A332" s="8" t="s">
        <v>219</v>
      </c>
      <c r="B332" s="8" t="s">
        <v>192</v>
      </c>
      <c r="C332" s="8" t="s">
        <v>194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11"/>
      <c r="O332" s="11"/>
      <c r="P332" s="11"/>
      <c r="Q332" s="11"/>
    </row>
    <row r="333" spans="1:17">
      <c r="A333" s="8" t="s">
        <v>219</v>
      </c>
      <c r="B333" s="8" t="s">
        <v>195</v>
      </c>
      <c r="C333" s="8" t="s">
        <v>196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11"/>
      <c r="O333" s="11"/>
      <c r="P333" s="11"/>
      <c r="Q333" s="11"/>
    </row>
    <row r="334" spans="1:17">
      <c r="A334" s="8" t="s">
        <v>219</v>
      </c>
      <c r="B334" s="8" t="s">
        <v>195</v>
      </c>
      <c r="C334" s="8" t="s">
        <v>197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11"/>
      <c r="O334" s="11"/>
      <c r="P334" s="11"/>
      <c r="Q334" s="11"/>
    </row>
    <row r="335" spans="1:17">
      <c r="A335" s="8" t="s">
        <v>219</v>
      </c>
      <c r="B335" s="8" t="s">
        <v>198</v>
      </c>
      <c r="C335" s="8" t="s">
        <v>199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11"/>
      <c r="O335" s="11"/>
      <c r="P335" s="11"/>
      <c r="Q335" s="11"/>
    </row>
    <row r="336" spans="1:17">
      <c r="A336" s="8" t="s">
        <v>219</v>
      </c>
      <c r="B336" s="8" t="s">
        <v>36</v>
      </c>
      <c r="C336" s="8" t="s">
        <v>130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11"/>
      <c r="O336" s="11"/>
      <c r="P336" s="11"/>
      <c r="Q336" s="11"/>
    </row>
    <row r="337" spans="1:17">
      <c r="A337" s="8" t="s">
        <v>219</v>
      </c>
      <c r="B337" s="8" t="s">
        <v>200</v>
      </c>
      <c r="C337" s="8" t="s">
        <v>97</v>
      </c>
      <c r="D337" s="8">
        <v>0</v>
      </c>
      <c r="E337" s="8">
        <v>5.64350731898456</v>
      </c>
      <c r="F337" s="8">
        <v>0</v>
      </c>
      <c r="G337" s="8">
        <v>7.04789378309717</v>
      </c>
      <c r="H337" s="8">
        <v>0</v>
      </c>
      <c r="I337" s="8">
        <v>0</v>
      </c>
      <c r="J337" s="8">
        <v>154.386971483417</v>
      </c>
      <c r="K337" s="8">
        <v>16.6640572578911</v>
      </c>
      <c r="L337" s="8">
        <v>6.94578424085052</v>
      </c>
      <c r="M337" s="8">
        <v>46.722319912842</v>
      </c>
      <c r="N337" s="11"/>
      <c r="O337" s="11"/>
      <c r="P337" s="11"/>
      <c r="Q337" s="11"/>
    </row>
    <row r="338" spans="1:17">
      <c r="A338" s="8" t="s">
        <v>219</v>
      </c>
      <c r="B338" s="8" t="s">
        <v>200</v>
      </c>
      <c r="C338" s="8" t="s">
        <v>98</v>
      </c>
      <c r="D338" s="8">
        <v>0</v>
      </c>
      <c r="E338" s="8">
        <v>0</v>
      </c>
      <c r="F338" s="8">
        <v>70.0912139612697</v>
      </c>
      <c r="G338" s="8">
        <v>3.07429720723553</v>
      </c>
      <c r="H338" s="8">
        <v>0</v>
      </c>
      <c r="I338" s="8">
        <v>11.7398352439312</v>
      </c>
      <c r="J338" s="8">
        <v>32.4269002360578</v>
      </c>
      <c r="K338" s="8">
        <v>5.12102384436465</v>
      </c>
      <c r="L338" s="8">
        <v>21.6789913504423</v>
      </c>
      <c r="M338" s="8">
        <v>0.42077529318927</v>
      </c>
      <c r="N338" s="11"/>
      <c r="O338" s="11"/>
      <c r="P338" s="11"/>
      <c r="Q338" s="11"/>
    </row>
    <row r="339" spans="1:17">
      <c r="A339" s="8" t="s">
        <v>219</v>
      </c>
      <c r="B339" s="8" t="s">
        <v>200</v>
      </c>
      <c r="C339" s="8" t="s">
        <v>95</v>
      </c>
      <c r="D339" s="8">
        <v>0</v>
      </c>
      <c r="E339" s="8">
        <v>8.6394344203404</v>
      </c>
      <c r="F339" s="8">
        <v>0</v>
      </c>
      <c r="G339" s="8">
        <v>7.53283182308001</v>
      </c>
      <c r="H339" s="8">
        <v>0</v>
      </c>
      <c r="I339" s="8">
        <v>0</v>
      </c>
      <c r="J339" s="8">
        <v>0</v>
      </c>
      <c r="K339" s="8">
        <v>7.18841791874272</v>
      </c>
      <c r="L339" s="8">
        <v>16.9753841656066</v>
      </c>
      <c r="M339" s="8">
        <v>9.14714307494411</v>
      </c>
      <c r="N339" s="11"/>
      <c r="O339" s="11"/>
      <c r="P339" s="11"/>
      <c r="Q339" s="11"/>
    </row>
    <row r="340" spans="1:17">
      <c r="A340" s="8" t="s">
        <v>219</v>
      </c>
      <c r="B340" s="8" t="s">
        <v>200</v>
      </c>
      <c r="C340" s="8" t="s">
        <v>93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11"/>
      <c r="O340" s="11"/>
      <c r="P340" s="11"/>
      <c r="Q340" s="11"/>
    </row>
    <row r="341" spans="1:17">
      <c r="A341" s="8" t="s">
        <v>219</v>
      </c>
      <c r="B341" s="8" t="s">
        <v>200</v>
      </c>
      <c r="C341" s="8" t="s">
        <v>96</v>
      </c>
      <c r="D341" s="8">
        <v>0</v>
      </c>
      <c r="E341" s="8">
        <v>2.88679557887504</v>
      </c>
      <c r="F341" s="8">
        <v>0</v>
      </c>
      <c r="G341" s="8">
        <v>16.0915450024051</v>
      </c>
      <c r="H341" s="8">
        <v>0</v>
      </c>
      <c r="I341" s="8">
        <v>15.5145301066056</v>
      </c>
      <c r="J341" s="8">
        <v>0</v>
      </c>
      <c r="K341" s="8">
        <v>9.90090910542169</v>
      </c>
      <c r="L341" s="8">
        <v>2.54858830981056</v>
      </c>
      <c r="M341" s="8">
        <v>4.77405159148835</v>
      </c>
      <c r="N341" s="11"/>
      <c r="O341" s="11"/>
      <c r="P341" s="11"/>
      <c r="Q341" s="11"/>
    </row>
    <row r="342" spans="1:17">
      <c r="A342" s="8" t="s">
        <v>219</v>
      </c>
      <c r="B342" s="8" t="s">
        <v>200</v>
      </c>
      <c r="C342" s="8" t="s">
        <v>94</v>
      </c>
      <c r="D342" s="8">
        <v>0</v>
      </c>
      <c r="E342" s="8">
        <v>7.93868394032925</v>
      </c>
      <c r="F342" s="8">
        <v>0</v>
      </c>
      <c r="G342" s="8">
        <v>4.12798805473743</v>
      </c>
      <c r="H342" s="8">
        <v>0</v>
      </c>
      <c r="I342" s="8">
        <v>1.15488586525751</v>
      </c>
      <c r="J342" s="8">
        <v>0</v>
      </c>
      <c r="K342" s="8">
        <v>11.670617868665</v>
      </c>
      <c r="L342" s="8">
        <v>4.0244337870991</v>
      </c>
      <c r="M342" s="8">
        <v>7.32103410962564</v>
      </c>
      <c r="N342" s="11"/>
      <c r="O342" s="11"/>
      <c r="P342" s="11"/>
      <c r="Q342" s="11"/>
    </row>
    <row r="343" spans="1:17">
      <c r="A343" s="8" t="s">
        <v>219</v>
      </c>
      <c r="B343" s="8" t="s">
        <v>201</v>
      </c>
      <c r="C343" s="8" t="s">
        <v>202</v>
      </c>
      <c r="D343" s="8">
        <v>0</v>
      </c>
      <c r="E343" s="8">
        <v>0</v>
      </c>
      <c r="F343" s="8">
        <v>0</v>
      </c>
      <c r="G343" s="8">
        <v>21.3032095796316</v>
      </c>
      <c r="H343" s="8">
        <v>0</v>
      </c>
      <c r="I343" s="8">
        <v>7.72885029996251</v>
      </c>
      <c r="J343" s="8">
        <v>0</v>
      </c>
      <c r="K343" s="8">
        <v>0</v>
      </c>
      <c r="L343" s="8">
        <v>23.2368048908445</v>
      </c>
      <c r="M343" s="8">
        <v>117.430397266912</v>
      </c>
      <c r="N343" s="11"/>
      <c r="O343" s="11"/>
      <c r="P343" s="11"/>
      <c r="Q343" s="11"/>
    </row>
    <row r="344" spans="1:17">
      <c r="A344" s="11"/>
      <c r="B344" s="11"/>
      <c r="C344" s="11"/>
      <c r="D344" s="2" t="s">
        <v>185</v>
      </c>
      <c r="E344" s="3"/>
      <c r="F344" s="3"/>
      <c r="G344" s="3"/>
      <c r="H344" s="4"/>
      <c r="I344" s="5" t="s">
        <v>186</v>
      </c>
      <c r="J344" s="6"/>
      <c r="K344" s="6"/>
      <c r="L344" s="6"/>
      <c r="M344" s="7"/>
      <c r="N344" s="8" t="s">
        <v>203</v>
      </c>
      <c r="O344" s="8" t="s">
        <v>203</v>
      </c>
      <c r="P344" s="8" t="s">
        <v>248</v>
      </c>
      <c r="Q344" s="8" t="s">
        <v>248</v>
      </c>
    </row>
    <row r="345" spans="1:17">
      <c r="A345" s="11"/>
      <c r="B345" s="8" t="s">
        <v>219</v>
      </c>
      <c r="C345" s="8" t="s">
        <v>37</v>
      </c>
      <c r="D345" s="8">
        <f t="shared" ref="D345:M345" si="130">SUM(D329:D335)</f>
        <v>0</v>
      </c>
      <c r="E345" s="8">
        <f t="shared" si="130"/>
        <v>0</v>
      </c>
      <c r="F345" s="8">
        <f t="shared" si="130"/>
        <v>0</v>
      </c>
      <c r="G345" s="8">
        <f t="shared" si="130"/>
        <v>0</v>
      </c>
      <c r="H345" s="8">
        <f t="shared" si="130"/>
        <v>0</v>
      </c>
      <c r="I345" s="8">
        <f t="shared" si="130"/>
        <v>0</v>
      </c>
      <c r="J345" s="8">
        <f t="shared" si="130"/>
        <v>0</v>
      </c>
      <c r="K345" s="8">
        <f t="shared" si="130"/>
        <v>0</v>
      </c>
      <c r="L345" s="8">
        <f t="shared" si="130"/>
        <v>0</v>
      </c>
      <c r="M345" s="8">
        <f t="shared" si="130"/>
        <v>0</v>
      </c>
      <c r="N345" s="8">
        <f t="shared" ref="N345:N347" si="131">AVERAGE(D345:H345)</f>
        <v>0</v>
      </c>
      <c r="O345" s="8">
        <f t="shared" ref="O345:O347" si="132">AVERAGE(I345:M345)</f>
        <v>0</v>
      </c>
      <c r="P345" s="8">
        <f t="shared" ref="P345:P347" si="133">LOG(N345+1,2)</f>
        <v>0</v>
      </c>
      <c r="Q345" s="8">
        <f t="shared" ref="Q345:Q347" si="134">LOG(O345+1,2)</f>
        <v>0</v>
      </c>
    </row>
    <row r="346" spans="1:17">
      <c r="A346" s="11"/>
      <c r="B346" s="8" t="s">
        <v>219</v>
      </c>
      <c r="C346" s="8" t="s">
        <v>36</v>
      </c>
      <c r="D346" s="8">
        <f t="shared" ref="D346:M346" si="135">D336</f>
        <v>0</v>
      </c>
      <c r="E346" s="8">
        <f t="shared" si="135"/>
        <v>0</v>
      </c>
      <c r="F346" s="8">
        <f t="shared" si="135"/>
        <v>0</v>
      </c>
      <c r="G346" s="8">
        <f t="shared" si="135"/>
        <v>0</v>
      </c>
      <c r="H346" s="8">
        <f t="shared" si="135"/>
        <v>0</v>
      </c>
      <c r="I346" s="8">
        <f t="shared" si="135"/>
        <v>0</v>
      </c>
      <c r="J346" s="8">
        <f t="shared" si="135"/>
        <v>0</v>
      </c>
      <c r="K346" s="8">
        <f t="shared" si="135"/>
        <v>0</v>
      </c>
      <c r="L346" s="8">
        <f t="shared" si="135"/>
        <v>0</v>
      </c>
      <c r="M346" s="8">
        <f t="shared" si="135"/>
        <v>0</v>
      </c>
      <c r="N346" s="8">
        <f t="shared" si="131"/>
        <v>0</v>
      </c>
      <c r="O346" s="8">
        <f t="shared" si="132"/>
        <v>0</v>
      </c>
      <c r="P346" s="8">
        <f t="shared" si="133"/>
        <v>0</v>
      </c>
      <c r="Q346" s="8">
        <f t="shared" si="134"/>
        <v>0</v>
      </c>
    </row>
    <row r="347" spans="1:17">
      <c r="A347" s="11"/>
      <c r="B347" s="8" t="s">
        <v>219</v>
      </c>
      <c r="C347" s="8" t="s">
        <v>35</v>
      </c>
      <c r="D347" s="8">
        <f t="shared" ref="D347:M347" si="136">SUM(D337:D343)</f>
        <v>0</v>
      </c>
      <c r="E347" s="8">
        <f t="shared" si="136"/>
        <v>25.1084212585293</v>
      </c>
      <c r="F347" s="8">
        <f t="shared" si="136"/>
        <v>70.0912139612697</v>
      </c>
      <c r="G347" s="8">
        <f t="shared" si="136"/>
        <v>59.1777654501869</v>
      </c>
      <c r="H347" s="8">
        <f t="shared" si="136"/>
        <v>0</v>
      </c>
      <c r="I347" s="8">
        <f t="shared" si="136"/>
        <v>36.1381015157568</v>
      </c>
      <c r="J347" s="8">
        <f t="shared" si="136"/>
        <v>186.813871719475</v>
      </c>
      <c r="K347" s="8">
        <f t="shared" si="136"/>
        <v>50.5450259950852</v>
      </c>
      <c r="L347" s="8">
        <f t="shared" si="136"/>
        <v>75.4099867446536</v>
      </c>
      <c r="M347" s="8">
        <f t="shared" si="136"/>
        <v>185.815721249001</v>
      </c>
      <c r="N347" s="8">
        <f t="shared" si="131"/>
        <v>30.8754801339972</v>
      </c>
      <c r="O347" s="8">
        <f t="shared" si="132"/>
        <v>106.944541444794</v>
      </c>
      <c r="P347" s="8">
        <f t="shared" si="133"/>
        <v>4.99437516805007</v>
      </c>
      <c r="Q347" s="8">
        <f t="shared" si="134"/>
        <v>6.75414648056789</v>
      </c>
    </row>
    <row r="348" spans="1:1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8"/>
      <c r="O348" s="8"/>
      <c r="P348" s="11"/>
      <c r="Q348" s="11"/>
    </row>
    <row r="349" spans="1:17">
      <c r="A349" s="11"/>
      <c r="B349" s="8" t="s">
        <v>219</v>
      </c>
      <c r="C349" s="8" t="s">
        <v>37</v>
      </c>
      <c r="D349" s="8">
        <f t="shared" ref="D349:M349" si="137">LOG(D345+1,2)</f>
        <v>0</v>
      </c>
      <c r="E349" s="8">
        <f t="shared" si="137"/>
        <v>0</v>
      </c>
      <c r="F349" s="8">
        <f t="shared" si="137"/>
        <v>0</v>
      </c>
      <c r="G349" s="8">
        <f t="shared" si="137"/>
        <v>0</v>
      </c>
      <c r="H349" s="8">
        <f t="shared" si="137"/>
        <v>0</v>
      </c>
      <c r="I349" s="8">
        <f t="shared" si="137"/>
        <v>0</v>
      </c>
      <c r="J349" s="8">
        <f t="shared" si="137"/>
        <v>0</v>
      </c>
      <c r="K349" s="8">
        <f t="shared" si="137"/>
        <v>0</v>
      </c>
      <c r="L349" s="8">
        <f t="shared" si="137"/>
        <v>0</v>
      </c>
      <c r="M349" s="15">
        <f t="shared" si="137"/>
        <v>0</v>
      </c>
      <c r="N349" s="8"/>
      <c r="O349" s="8"/>
      <c r="P349" s="11"/>
      <c r="Q349" s="11"/>
    </row>
    <row r="350" spans="1:17">
      <c r="A350" s="11"/>
      <c r="B350" s="8" t="s">
        <v>219</v>
      </c>
      <c r="C350" s="8" t="s">
        <v>36</v>
      </c>
      <c r="D350" s="8">
        <f t="shared" ref="D350:M350" si="138">LOG(D346+1,2)</f>
        <v>0</v>
      </c>
      <c r="E350" s="8">
        <f t="shared" si="138"/>
        <v>0</v>
      </c>
      <c r="F350" s="8">
        <f t="shared" si="138"/>
        <v>0</v>
      </c>
      <c r="G350" s="8">
        <f t="shared" si="138"/>
        <v>0</v>
      </c>
      <c r="H350" s="8">
        <f t="shared" si="138"/>
        <v>0</v>
      </c>
      <c r="I350" s="8">
        <f t="shared" si="138"/>
        <v>0</v>
      </c>
      <c r="J350" s="8">
        <f t="shared" si="138"/>
        <v>0</v>
      </c>
      <c r="K350" s="8">
        <f t="shared" si="138"/>
        <v>0</v>
      </c>
      <c r="L350" s="8">
        <f t="shared" si="138"/>
        <v>0</v>
      </c>
      <c r="M350" s="15">
        <f t="shared" si="138"/>
        <v>0</v>
      </c>
      <c r="N350" s="8"/>
      <c r="O350" s="8"/>
      <c r="P350" s="11"/>
      <c r="Q350" s="11"/>
    </row>
    <row r="351" spans="1:17">
      <c r="A351" s="11"/>
      <c r="B351" s="8" t="s">
        <v>219</v>
      </c>
      <c r="C351" s="8" t="s">
        <v>35</v>
      </c>
      <c r="D351" s="8">
        <f t="shared" ref="D351:M351" si="139">LOG(D347+1,2)</f>
        <v>0</v>
      </c>
      <c r="E351" s="8">
        <f t="shared" si="139"/>
        <v>4.70644331732738</v>
      </c>
      <c r="F351" s="8">
        <f t="shared" si="139"/>
        <v>6.15159936559353</v>
      </c>
      <c r="G351" s="8">
        <f t="shared" si="139"/>
        <v>5.91115863170506</v>
      </c>
      <c r="H351" s="8">
        <f t="shared" si="139"/>
        <v>0</v>
      </c>
      <c r="I351" s="8">
        <f t="shared" si="139"/>
        <v>5.21482816207754</v>
      </c>
      <c r="J351" s="8">
        <f t="shared" si="139"/>
        <v>7.55315981252051</v>
      </c>
      <c r="K351" s="8">
        <f t="shared" si="139"/>
        <v>5.68776131164763</v>
      </c>
      <c r="L351" s="8">
        <f t="shared" si="139"/>
        <v>6.25568930494679</v>
      </c>
      <c r="M351" s="15">
        <f t="shared" si="139"/>
        <v>7.54547205817133</v>
      </c>
      <c r="N351" s="8"/>
      <c r="O351" s="8"/>
      <c r="P351" s="11"/>
      <c r="Q351" s="11"/>
    </row>
    <row r="352" spans="1:1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>
      <c r="A354" s="8" t="s">
        <v>220</v>
      </c>
      <c r="B354" s="8" t="s">
        <v>188</v>
      </c>
      <c r="C354" s="8" t="s">
        <v>189</v>
      </c>
      <c r="D354" s="8">
        <v>0</v>
      </c>
      <c r="E354" s="8">
        <v>8.73110997560256</v>
      </c>
      <c r="F354" s="8">
        <v>0</v>
      </c>
      <c r="G354" s="8">
        <v>18.031592602921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11"/>
      <c r="O354" s="11"/>
      <c r="P354" s="11"/>
      <c r="Q354" s="11"/>
    </row>
    <row r="355" spans="1:17">
      <c r="A355" s="8" t="s">
        <v>220</v>
      </c>
      <c r="B355" s="8" t="s">
        <v>190</v>
      </c>
      <c r="C355" s="8" t="s">
        <v>191</v>
      </c>
      <c r="D355" s="8">
        <v>0</v>
      </c>
      <c r="E355" s="8">
        <v>41.3668317656611</v>
      </c>
      <c r="F355" s="8">
        <v>0</v>
      </c>
      <c r="G355" s="8">
        <v>2.90651504303958</v>
      </c>
      <c r="H355" s="8">
        <v>0</v>
      </c>
      <c r="I355" s="8">
        <v>0</v>
      </c>
      <c r="J355" s="8">
        <v>0</v>
      </c>
      <c r="K355" s="8">
        <v>0</v>
      </c>
      <c r="L355" s="8">
        <v>1.52419987183621</v>
      </c>
      <c r="M355" s="8">
        <v>0</v>
      </c>
      <c r="N355" s="11"/>
      <c r="O355" s="11"/>
      <c r="P355" s="11"/>
      <c r="Q355" s="11"/>
    </row>
    <row r="356" spans="1:17">
      <c r="A356" s="8" t="s">
        <v>220</v>
      </c>
      <c r="B356" s="8" t="s">
        <v>192</v>
      </c>
      <c r="C356" s="8" t="s">
        <v>193</v>
      </c>
      <c r="D356" s="8">
        <v>0</v>
      </c>
      <c r="E356" s="8">
        <v>1.45518690982301</v>
      </c>
      <c r="F356" s="8">
        <v>0</v>
      </c>
      <c r="G356" s="8">
        <v>34.1283096789082</v>
      </c>
      <c r="H356" s="8">
        <v>0</v>
      </c>
      <c r="I356" s="8">
        <v>0</v>
      </c>
      <c r="J356" s="8">
        <v>0</v>
      </c>
      <c r="K356" s="8">
        <v>0</v>
      </c>
      <c r="L356" s="8">
        <v>16.6952361526215</v>
      </c>
      <c r="M356" s="8">
        <v>0</v>
      </c>
      <c r="N356" s="11"/>
      <c r="O356" s="11"/>
      <c r="P356" s="11"/>
      <c r="Q356" s="11"/>
    </row>
    <row r="357" spans="1:17">
      <c r="A357" s="8" t="s">
        <v>220</v>
      </c>
      <c r="B357" s="8" t="s">
        <v>192</v>
      </c>
      <c r="C357" s="8" t="s">
        <v>194</v>
      </c>
      <c r="D357" s="8">
        <v>0</v>
      </c>
      <c r="E357" s="8">
        <v>23.2828941975046</v>
      </c>
      <c r="F357" s="8">
        <v>0</v>
      </c>
      <c r="G357" s="8">
        <v>2.66591989864092</v>
      </c>
      <c r="H357" s="8">
        <v>0</v>
      </c>
      <c r="I357" s="8">
        <v>0</v>
      </c>
      <c r="J357" s="8">
        <v>0</v>
      </c>
      <c r="K357" s="8">
        <v>0</v>
      </c>
      <c r="L357" s="8">
        <v>9.16964005405332</v>
      </c>
      <c r="M357" s="8">
        <v>0</v>
      </c>
      <c r="N357" s="11"/>
      <c r="O357" s="11"/>
      <c r="P357" s="11"/>
      <c r="Q357" s="11"/>
    </row>
    <row r="358" spans="1:17">
      <c r="A358" s="8" t="s">
        <v>220</v>
      </c>
      <c r="B358" s="8" t="s">
        <v>195</v>
      </c>
      <c r="C358" s="8" t="s">
        <v>196</v>
      </c>
      <c r="D358" s="8">
        <v>0</v>
      </c>
      <c r="E358" s="8">
        <v>0</v>
      </c>
      <c r="F358" s="8">
        <v>0</v>
      </c>
      <c r="G358" s="8">
        <v>4.11601556086933</v>
      </c>
      <c r="H358" s="8">
        <v>0</v>
      </c>
      <c r="I358" s="8">
        <v>0</v>
      </c>
      <c r="J358" s="8">
        <v>0</v>
      </c>
      <c r="K358" s="8">
        <v>0</v>
      </c>
      <c r="L358" s="8">
        <v>1.12856219668267</v>
      </c>
      <c r="M358" s="8">
        <v>0</v>
      </c>
      <c r="N358" s="11"/>
      <c r="O358" s="11"/>
      <c r="P358" s="11"/>
      <c r="Q358" s="11"/>
    </row>
    <row r="359" spans="1:17">
      <c r="A359" s="8" t="s">
        <v>220</v>
      </c>
      <c r="B359" s="8" t="s">
        <v>195</v>
      </c>
      <c r="C359" s="8" t="s">
        <v>197</v>
      </c>
      <c r="D359" s="8">
        <v>0</v>
      </c>
      <c r="E359" s="8">
        <v>0</v>
      </c>
      <c r="F359" s="8">
        <v>0</v>
      </c>
      <c r="G359" s="8">
        <v>3.90165504916683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0.85454009395943</v>
      </c>
      <c r="N359" s="11"/>
      <c r="O359" s="11"/>
      <c r="P359" s="11"/>
      <c r="Q359" s="11"/>
    </row>
    <row r="360" spans="1:17">
      <c r="A360" s="8" t="s">
        <v>220</v>
      </c>
      <c r="B360" s="8" t="s">
        <v>198</v>
      </c>
      <c r="C360" s="8" t="s">
        <v>199</v>
      </c>
      <c r="D360" s="8">
        <v>13.7638152064786</v>
      </c>
      <c r="E360" s="8">
        <v>23.8730037533277</v>
      </c>
      <c r="F360" s="8">
        <v>0</v>
      </c>
      <c r="G360" s="8">
        <v>24.2594373740392</v>
      </c>
      <c r="H360" s="8">
        <v>11.4193930818211</v>
      </c>
      <c r="I360" s="8">
        <v>0</v>
      </c>
      <c r="J360" s="8">
        <v>0</v>
      </c>
      <c r="K360" s="8">
        <v>0</v>
      </c>
      <c r="L360" s="8">
        <v>20.1589301715682</v>
      </c>
      <c r="M360" s="8">
        <v>3.96281373020538</v>
      </c>
      <c r="N360" s="11"/>
      <c r="O360" s="11"/>
      <c r="P360" s="11"/>
      <c r="Q360" s="11"/>
    </row>
    <row r="361" spans="1:17">
      <c r="A361" s="8" t="s">
        <v>220</v>
      </c>
      <c r="B361" s="8" t="s">
        <v>36</v>
      </c>
      <c r="C361" s="8" t="s">
        <v>130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11"/>
      <c r="O361" s="11"/>
      <c r="P361" s="11"/>
      <c r="Q361" s="11"/>
    </row>
    <row r="362" spans="1:17">
      <c r="A362" s="8" t="s">
        <v>220</v>
      </c>
      <c r="B362" s="8" t="s">
        <v>200</v>
      </c>
      <c r="C362" s="8" t="s">
        <v>97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11"/>
      <c r="O362" s="11"/>
      <c r="P362" s="11"/>
      <c r="Q362" s="11"/>
    </row>
    <row r="363" spans="1:17">
      <c r="A363" s="8" t="s">
        <v>220</v>
      </c>
      <c r="B363" s="8" t="s">
        <v>200</v>
      </c>
      <c r="C363" s="8" t="s">
        <v>98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11"/>
      <c r="O363" s="11"/>
      <c r="P363" s="11"/>
      <c r="Q363" s="11"/>
    </row>
    <row r="364" spans="1:17">
      <c r="A364" s="8" t="s">
        <v>220</v>
      </c>
      <c r="B364" s="8" t="s">
        <v>200</v>
      </c>
      <c r="C364" s="8" t="s">
        <v>95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11"/>
      <c r="O364" s="11"/>
      <c r="P364" s="11"/>
      <c r="Q364" s="11"/>
    </row>
    <row r="365" spans="1:17">
      <c r="A365" s="8" t="s">
        <v>220</v>
      </c>
      <c r="B365" s="8" t="s">
        <v>200</v>
      </c>
      <c r="C365" s="8" t="s">
        <v>93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11"/>
      <c r="O365" s="11"/>
      <c r="P365" s="11"/>
      <c r="Q365" s="11"/>
    </row>
    <row r="366" spans="1:17">
      <c r="A366" s="8" t="s">
        <v>220</v>
      </c>
      <c r="B366" s="8" t="s">
        <v>200</v>
      </c>
      <c r="C366" s="8" t="s">
        <v>96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11"/>
      <c r="O366" s="11"/>
      <c r="P366" s="11"/>
      <c r="Q366" s="11"/>
    </row>
    <row r="367" spans="1:17">
      <c r="A367" s="8" t="s">
        <v>220</v>
      </c>
      <c r="B367" s="8" t="s">
        <v>200</v>
      </c>
      <c r="C367" s="8" t="s">
        <v>94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11"/>
      <c r="O367" s="11"/>
      <c r="P367" s="11"/>
      <c r="Q367" s="11"/>
    </row>
    <row r="368" spans="1:17">
      <c r="A368" s="8" t="s">
        <v>220</v>
      </c>
      <c r="B368" s="8" t="s">
        <v>201</v>
      </c>
      <c r="C368" s="8" t="s">
        <v>202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11"/>
      <c r="O368" s="11"/>
      <c r="P368" s="11"/>
      <c r="Q368" s="11"/>
    </row>
    <row r="369" spans="1:17">
      <c r="A369" s="11"/>
      <c r="B369" s="11"/>
      <c r="C369" s="11"/>
      <c r="D369" s="2" t="s">
        <v>185</v>
      </c>
      <c r="E369" s="3"/>
      <c r="F369" s="3"/>
      <c r="G369" s="3"/>
      <c r="H369" s="4"/>
      <c r="I369" s="5" t="s">
        <v>186</v>
      </c>
      <c r="J369" s="6"/>
      <c r="K369" s="6"/>
      <c r="L369" s="6"/>
      <c r="M369" s="7"/>
      <c r="N369" s="8" t="s">
        <v>203</v>
      </c>
      <c r="O369" s="8" t="s">
        <v>203</v>
      </c>
      <c r="P369" s="8" t="s">
        <v>248</v>
      </c>
      <c r="Q369" s="8" t="s">
        <v>248</v>
      </c>
    </row>
    <row r="370" spans="1:17">
      <c r="A370" s="11"/>
      <c r="B370" s="8" t="s">
        <v>220</v>
      </c>
      <c r="C370" s="8" t="s">
        <v>37</v>
      </c>
      <c r="D370" s="8">
        <f t="shared" ref="D370:M370" si="140">SUM(D354:D360)</f>
        <v>13.7638152064786</v>
      </c>
      <c r="E370" s="8">
        <f t="shared" si="140"/>
        <v>98.7090266019189</v>
      </c>
      <c r="F370" s="8">
        <f t="shared" si="140"/>
        <v>0</v>
      </c>
      <c r="G370" s="8">
        <f t="shared" si="140"/>
        <v>90.009445207585</v>
      </c>
      <c r="H370" s="8">
        <f t="shared" si="140"/>
        <v>11.4193930818211</v>
      </c>
      <c r="I370" s="8">
        <f t="shared" si="140"/>
        <v>0</v>
      </c>
      <c r="J370" s="8">
        <f t="shared" si="140"/>
        <v>0</v>
      </c>
      <c r="K370" s="8">
        <f t="shared" si="140"/>
        <v>0</v>
      </c>
      <c r="L370" s="8">
        <f t="shared" si="140"/>
        <v>48.6765684467619</v>
      </c>
      <c r="M370" s="8">
        <f t="shared" si="140"/>
        <v>4.81735382416481</v>
      </c>
      <c r="N370" s="8">
        <f t="shared" ref="N370:N372" si="141">AVERAGE(D370:H370)</f>
        <v>42.7803360195607</v>
      </c>
      <c r="O370" s="8">
        <f t="shared" ref="O370:O372" si="142">AVERAGE(I370:M370)</f>
        <v>10.6987844541853</v>
      </c>
      <c r="P370" s="8">
        <f t="shared" ref="P370:P372" si="143">LOG(N370+1,2)</f>
        <v>5.45221112231379</v>
      </c>
      <c r="Q370" s="8">
        <f t="shared" ref="Q370:Q372" si="144">LOG(O370+1,2)</f>
        <v>3.5482867312754</v>
      </c>
    </row>
    <row r="371" spans="1:17">
      <c r="A371" s="11"/>
      <c r="B371" s="8" t="s">
        <v>220</v>
      </c>
      <c r="C371" s="8" t="s">
        <v>36</v>
      </c>
      <c r="D371" s="8">
        <f t="shared" ref="D371:M371" si="145">D361</f>
        <v>0</v>
      </c>
      <c r="E371" s="8">
        <f t="shared" si="145"/>
        <v>0</v>
      </c>
      <c r="F371" s="8">
        <f t="shared" si="145"/>
        <v>0</v>
      </c>
      <c r="G371" s="8">
        <f t="shared" si="145"/>
        <v>0</v>
      </c>
      <c r="H371" s="8">
        <f t="shared" si="145"/>
        <v>0</v>
      </c>
      <c r="I371" s="8">
        <f t="shared" si="145"/>
        <v>0</v>
      </c>
      <c r="J371" s="8">
        <f t="shared" si="145"/>
        <v>0</v>
      </c>
      <c r="K371" s="8">
        <f t="shared" si="145"/>
        <v>0</v>
      </c>
      <c r="L371" s="8">
        <f t="shared" si="145"/>
        <v>0</v>
      </c>
      <c r="M371" s="8">
        <f t="shared" si="145"/>
        <v>0</v>
      </c>
      <c r="N371" s="8">
        <f t="shared" si="141"/>
        <v>0</v>
      </c>
      <c r="O371" s="8">
        <f t="shared" si="142"/>
        <v>0</v>
      </c>
      <c r="P371" s="8">
        <f t="shared" si="143"/>
        <v>0</v>
      </c>
      <c r="Q371" s="8">
        <f t="shared" si="144"/>
        <v>0</v>
      </c>
    </row>
    <row r="372" spans="1:17">
      <c r="A372" s="11"/>
      <c r="B372" s="8" t="s">
        <v>220</v>
      </c>
      <c r="C372" s="8" t="s">
        <v>35</v>
      </c>
      <c r="D372" s="8">
        <f t="shared" ref="D372:M372" si="146">SUM(D362:D368)</f>
        <v>0</v>
      </c>
      <c r="E372" s="8">
        <f t="shared" si="146"/>
        <v>0</v>
      </c>
      <c r="F372" s="8">
        <f t="shared" si="146"/>
        <v>0</v>
      </c>
      <c r="G372" s="8">
        <f t="shared" si="146"/>
        <v>0</v>
      </c>
      <c r="H372" s="8">
        <f t="shared" si="146"/>
        <v>0</v>
      </c>
      <c r="I372" s="8">
        <f t="shared" si="146"/>
        <v>0</v>
      </c>
      <c r="J372" s="8">
        <f t="shared" si="146"/>
        <v>0</v>
      </c>
      <c r="K372" s="8">
        <f t="shared" si="146"/>
        <v>0</v>
      </c>
      <c r="L372" s="8">
        <f t="shared" si="146"/>
        <v>0</v>
      </c>
      <c r="M372" s="8">
        <f t="shared" si="146"/>
        <v>0</v>
      </c>
      <c r="N372" s="8">
        <f t="shared" si="141"/>
        <v>0</v>
      </c>
      <c r="O372" s="8">
        <f t="shared" si="142"/>
        <v>0</v>
      </c>
      <c r="P372" s="8">
        <f t="shared" si="143"/>
        <v>0</v>
      </c>
      <c r="Q372" s="8">
        <f t="shared" si="144"/>
        <v>0</v>
      </c>
    </row>
    <row r="373" spans="1:1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8"/>
      <c r="O373" s="8"/>
      <c r="P373" s="11"/>
      <c r="Q373" s="11"/>
    </row>
    <row r="374" spans="1:17">
      <c r="A374" s="11"/>
      <c r="B374" s="8" t="s">
        <v>220</v>
      </c>
      <c r="C374" s="8" t="s">
        <v>37</v>
      </c>
      <c r="D374" s="8">
        <f t="shared" ref="D374:M374" si="147">LOG(D370+1,2)</f>
        <v>3.8839936799863</v>
      </c>
      <c r="E374" s="8">
        <f t="shared" si="147"/>
        <v>6.63965221179108</v>
      </c>
      <c r="F374" s="8">
        <f t="shared" si="147"/>
        <v>0</v>
      </c>
      <c r="G374" s="8">
        <f t="shared" si="147"/>
        <v>6.50794437478131</v>
      </c>
      <c r="H374" s="8">
        <f t="shared" si="147"/>
        <v>3.6345227677017</v>
      </c>
      <c r="I374" s="8">
        <f t="shared" si="147"/>
        <v>0</v>
      </c>
      <c r="J374" s="8">
        <f t="shared" si="147"/>
        <v>0</v>
      </c>
      <c r="K374" s="8">
        <f t="shared" si="147"/>
        <v>0</v>
      </c>
      <c r="L374" s="8">
        <f t="shared" si="147"/>
        <v>5.63449361353781</v>
      </c>
      <c r="M374" s="15">
        <f t="shared" si="147"/>
        <v>2.54036305469774</v>
      </c>
      <c r="N374" s="8"/>
      <c r="O374" s="8"/>
      <c r="P374" s="11"/>
      <c r="Q374" s="11"/>
    </row>
    <row r="375" spans="1:17">
      <c r="A375" s="11"/>
      <c r="B375" s="8" t="s">
        <v>220</v>
      </c>
      <c r="C375" s="8" t="s">
        <v>36</v>
      </c>
      <c r="D375" s="8">
        <f t="shared" ref="D375:M375" si="148">LOG(D371+1,2)</f>
        <v>0</v>
      </c>
      <c r="E375" s="8">
        <f t="shared" si="148"/>
        <v>0</v>
      </c>
      <c r="F375" s="8">
        <f t="shared" si="148"/>
        <v>0</v>
      </c>
      <c r="G375" s="8">
        <f t="shared" si="148"/>
        <v>0</v>
      </c>
      <c r="H375" s="8">
        <f t="shared" si="148"/>
        <v>0</v>
      </c>
      <c r="I375" s="8">
        <f t="shared" si="148"/>
        <v>0</v>
      </c>
      <c r="J375" s="8">
        <f t="shared" si="148"/>
        <v>0</v>
      </c>
      <c r="K375" s="8">
        <f t="shared" si="148"/>
        <v>0</v>
      </c>
      <c r="L375" s="8">
        <f t="shared" si="148"/>
        <v>0</v>
      </c>
      <c r="M375" s="15">
        <f t="shared" si="148"/>
        <v>0</v>
      </c>
      <c r="N375" s="8"/>
      <c r="O375" s="8"/>
      <c r="P375" s="11"/>
      <c r="Q375" s="11"/>
    </row>
    <row r="376" spans="1:17">
      <c r="A376" s="11"/>
      <c r="B376" s="8" t="s">
        <v>220</v>
      </c>
      <c r="C376" s="8" t="s">
        <v>35</v>
      </c>
      <c r="D376" s="8">
        <f t="shared" ref="D376:M376" si="149">LOG(D372+1,2)</f>
        <v>0</v>
      </c>
      <c r="E376" s="8">
        <f t="shared" si="149"/>
        <v>0</v>
      </c>
      <c r="F376" s="8">
        <f t="shared" si="149"/>
        <v>0</v>
      </c>
      <c r="G376" s="8">
        <f t="shared" si="149"/>
        <v>0</v>
      </c>
      <c r="H376" s="8">
        <f t="shared" si="149"/>
        <v>0</v>
      </c>
      <c r="I376" s="8">
        <f t="shared" si="149"/>
        <v>0</v>
      </c>
      <c r="J376" s="8">
        <f t="shared" si="149"/>
        <v>0</v>
      </c>
      <c r="K376" s="8">
        <f t="shared" si="149"/>
        <v>0</v>
      </c>
      <c r="L376" s="8">
        <f t="shared" si="149"/>
        <v>0</v>
      </c>
      <c r="M376" s="15">
        <f t="shared" si="149"/>
        <v>0</v>
      </c>
      <c r="N376" s="8"/>
      <c r="O376" s="8"/>
      <c r="P376" s="11"/>
      <c r="Q376" s="11"/>
    </row>
    <row r="377" spans="1:1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>
      <c r="A379" s="8" t="s">
        <v>221</v>
      </c>
      <c r="B379" s="8" t="s">
        <v>188</v>
      </c>
      <c r="C379" s="8" t="s">
        <v>189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11"/>
      <c r="O379" s="11"/>
      <c r="P379" s="11"/>
      <c r="Q379" s="11"/>
    </row>
    <row r="380" spans="1:17">
      <c r="A380" s="8" t="s">
        <v>221</v>
      </c>
      <c r="B380" s="8" t="s">
        <v>190</v>
      </c>
      <c r="C380" s="8" t="s">
        <v>191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11"/>
      <c r="O380" s="11"/>
      <c r="P380" s="11"/>
      <c r="Q380" s="11"/>
    </row>
    <row r="381" spans="1:17">
      <c r="A381" s="8" t="s">
        <v>221</v>
      </c>
      <c r="B381" s="8" t="s">
        <v>192</v>
      </c>
      <c r="C381" s="8" t="s">
        <v>193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11"/>
      <c r="O381" s="11"/>
      <c r="P381" s="11"/>
      <c r="Q381" s="11"/>
    </row>
    <row r="382" spans="1:17">
      <c r="A382" s="8" t="s">
        <v>221</v>
      </c>
      <c r="B382" s="8" t="s">
        <v>192</v>
      </c>
      <c r="C382" s="8" t="s">
        <v>194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11"/>
      <c r="O382" s="11"/>
      <c r="P382" s="11"/>
      <c r="Q382" s="11"/>
    </row>
    <row r="383" spans="1:17">
      <c r="A383" s="8" t="s">
        <v>221</v>
      </c>
      <c r="B383" s="8" t="s">
        <v>195</v>
      </c>
      <c r="C383" s="8" t="s">
        <v>196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11"/>
      <c r="O383" s="11"/>
      <c r="P383" s="11"/>
      <c r="Q383" s="11"/>
    </row>
    <row r="384" spans="1:17">
      <c r="A384" s="8" t="s">
        <v>221</v>
      </c>
      <c r="B384" s="8" t="s">
        <v>195</v>
      </c>
      <c r="C384" s="8" t="s">
        <v>197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11"/>
      <c r="O384" s="11"/>
      <c r="P384" s="11"/>
      <c r="Q384" s="11"/>
    </row>
    <row r="385" spans="1:17">
      <c r="A385" s="8" t="s">
        <v>221</v>
      </c>
      <c r="B385" s="8" t="s">
        <v>198</v>
      </c>
      <c r="C385" s="8" t="s">
        <v>199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11"/>
      <c r="O385" s="11"/>
      <c r="P385" s="11"/>
      <c r="Q385" s="11"/>
    </row>
    <row r="386" spans="1:17">
      <c r="A386" s="8" t="s">
        <v>221</v>
      </c>
      <c r="B386" s="8" t="s">
        <v>36</v>
      </c>
      <c r="C386" s="8" t="s">
        <v>130</v>
      </c>
      <c r="D386" s="8">
        <v>0</v>
      </c>
      <c r="E386" s="8">
        <v>6.78529894716507</v>
      </c>
      <c r="F386" s="8">
        <v>0</v>
      </c>
      <c r="G386" s="8">
        <v>0</v>
      </c>
      <c r="H386" s="8">
        <v>0</v>
      </c>
      <c r="I386" s="8">
        <v>0</v>
      </c>
      <c r="J386" s="8">
        <v>98.5611371099383</v>
      </c>
      <c r="K386" s="8">
        <v>0</v>
      </c>
      <c r="L386" s="8">
        <v>0</v>
      </c>
      <c r="M386" s="8">
        <v>0</v>
      </c>
      <c r="N386" s="11"/>
      <c r="O386" s="11"/>
      <c r="P386" s="11"/>
      <c r="Q386" s="11"/>
    </row>
    <row r="387" spans="1:17">
      <c r="A387" s="8" t="s">
        <v>221</v>
      </c>
      <c r="B387" s="8" t="s">
        <v>200</v>
      </c>
      <c r="C387" s="8" t="s">
        <v>97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11"/>
      <c r="O387" s="11"/>
      <c r="P387" s="11"/>
      <c r="Q387" s="11"/>
    </row>
    <row r="388" spans="1:17">
      <c r="A388" s="8" t="s">
        <v>221</v>
      </c>
      <c r="B388" s="8" t="s">
        <v>200</v>
      </c>
      <c r="C388" s="8" t="s">
        <v>98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11"/>
      <c r="O388" s="11"/>
      <c r="P388" s="11"/>
      <c r="Q388" s="11"/>
    </row>
    <row r="389" spans="1:17">
      <c r="A389" s="8" t="s">
        <v>221</v>
      </c>
      <c r="B389" s="8" t="s">
        <v>200</v>
      </c>
      <c r="C389" s="8" t="s">
        <v>95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11"/>
      <c r="O389" s="11"/>
      <c r="P389" s="11"/>
      <c r="Q389" s="11"/>
    </row>
    <row r="390" spans="1:17">
      <c r="A390" s="8" t="s">
        <v>221</v>
      </c>
      <c r="B390" s="8" t="s">
        <v>200</v>
      </c>
      <c r="C390" s="8" t="s">
        <v>93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11"/>
      <c r="O390" s="11"/>
      <c r="P390" s="11"/>
      <c r="Q390" s="11"/>
    </row>
    <row r="391" spans="1:17">
      <c r="A391" s="8" t="s">
        <v>221</v>
      </c>
      <c r="B391" s="8" t="s">
        <v>200</v>
      </c>
      <c r="C391" s="8" t="s">
        <v>96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11"/>
      <c r="O391" s="11"/>
      <c r="P391" s="11"/>
      <c r="Q391" s="11"/>
    </row>
    <row r="392" spans="1:17">
      <c r="A392" s="8" t="s">
        <v>221</v>
      </c>
      <c r="B392" s="8" t="s">
        <v>200</v>
      </c>
      <c r="C392" s="8" t="s">
        <v>94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11"/>
      <c r="O392" s="11"/>
      <c r="P392" s="11"/>
      <c r="Q392" s="11"/>
    </row>
    <row r="393" spans="1:17">
      <c r="A393" s="8" t="s">
        <v>221</v>
      </c>
      <c r="B393" s="8" t="s">
        <v>201</v>
      </c>
      <c r="C393" s="8" t="s">
        <v>202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11"/>
      <c r="O393" s="11"/>
      <c r="P393" s="11"/>
      <c r="Q393" s="11"/>
    </row>
    <row r="394" spans="1:17">
      <c r="A394" s="11"/>
      <c r="B394" s="11"/>
      <c r="C394" s="11"/>
      <c r="D394" s="2" t="s">
        <v>185</v>
      </c>
      <c r="E394" s="3"/>
      <c r="F394" s="3"/>
      <c r="G394" s="3"/>
      <c r="H394" s="4"/>
      <c r="I394" s="5" t="s">
        <v>186</v>
      </c>
      <c r="J394" s="6"/>
      <c r="K394" s="6"/>
      <c r="L394" s="6"/>
      <c r="M394" s="7"/>
      <c r="N394" s="8" t="s">
        <v>203</v>
      </c>
      <c r="O394" s="8" t="s">
        <v>203</v>
      </c>
      <c r="P394" s="8" t="s">
        <v>248</v>
      </c>
      <c r="Q394" s="8" t="s">
        <v>248</v>
      </c>
    </row>
    <row r="395" spans="1:17">
      <c r="A395" s="11"/>
      <c r="B395" s="8" t="s">
        <v>221</v>
      </c>
      <c r="C395" s="8" t="s">
        <v>37</v>
      </c>
      <c r="D395" s="8">
        <f t="shared" ref="D395:M395" si="150">SUM(D379:D385)</f>
        <v>0</v>
      </c>
      <c r="E395" s="8">
        <f t="shared" si="150"/>
        <v>0</v>
      </c>
      <c r="F395" s="8">
        <f t="shared" si="150"/>
        <v>0</v>
      </c>
      <c r="G395" s="8">
        <f t="shared" si="150"/>
        <v>0</v>
      </c>
      <c r="H395" s="8">
        <f t="shared" si="150"/>
        <v>0</v>
      </c>
      <c r="I395" s="8">
        <f t="shared" si="150"/>
        <v>0</v>
      </c>
      <c r="J395" s="8">
        <f t="shared" si="150"/>
        <v>0</v>
      </c>
      <c r="K395" s="8">
        <f t="shared" si="150"/>
        <v>0</v>
      </c>
      <c r="L395" s="8">
        <f t="shared" si="150"/>
        <v>0</v>
      </c>
      <c r="M395" s="8">
        <f t="shared" si="150"/>
        <v>0</v>
      </c>
      <c r="N395" s="8">
        <f t="shared" ref="N395:N397" si="151">AVERAGE(D395:H395)</f>
        <v>0</v>
      </c>
      <c r="O395" s="8">
        <f t="shared" ref="O395:O397" si="152">AVERAGE(I395:M395)</f>
        <v>0</v>
      </c>
      <c r="P395" s="8">
        <f t="shared" ref="P395:P397" si="153">LOG(N395+1,2)</f>
        <v>0</v>
      </c>
      <c r="Q395" s="8">
        <f t="shared" ref="Q395:Q397" si="154">LOG(O395+1,2)</f>
        <v>0</v>
      </c>
    </row>
    <row r="396" spans="1:17">
      <c r="A396" s="11"/>
      <c r="B396" s="8" t="s">
        <v>221</v>
      </c>
      <c r="C396" s="8" t="s">
        <v>36</v>
      </c>
      <c r="D396" s="8">
        <f t="shared" ref="D396:M396" si="155">D386</f>
        <v>0</v>
      </c>
      <c r="E396" s="8">
        <f t="shared" si="155"/>
        <v>6.78529894716507</v>
      </c>
      <c r="F396" s="8">
        <f t="shared" si="155"/>
        <v>0</v>
      </c>
      <c r="G396" s="8">
        <f t="shared" si="155"/>
        <v>0</v>
      </c>
      <c r="H396" s="8">
        <f t="shared" si="155"/>
        <v>0</v>
      </c>
      <c r="I396" s="8">
        <f t="shared" si="155"/>
        <v>0</v>
      </c>
      <c r="J396" s="8">
        <f t="shared" si="155"/>
        <v>98.5611371099383</v>
      </c>
      <c r="K396" s="8">
        <f t="shared" si="155"/>
        <v>0</v>
      </c>
      <c r="L396" s="8">
        <f t="shared" si="155"/>
        <v>0</v>
      </c>
      <c r="M396" s="8">
        <f t="shared" si="155"/>
        <v>0</v>
      </c>
      <c r="N396" s="8">
        <f t="shared" si="151"/>
        <v>1.35705978943301</v>
      </c>
      <c r="O396" s="8">
        <f t="shared" si="152"/>
        <v>19.7122274219877</v>
      </c>
      <c r="P396" s="8">
        <f t="shared" si="153"/>
        <v>1.23698835461035</v>
      </c>
      <c r="Q396" s="8">
        <f t="shared" si="154"/>
        <v>4.37241080623708</v>
      </c>
    </row>
    <row r="397" spans="1:17">
      <c r="A397" s="11"/>
      <c r="B397" s="8" t="s">
        <v>221</v>
      </c>
      <c r="C397" s="8" t="s">
        <v>35</v>
      </c>
      <c r="D397" s="8">
        <f t="shared" ref="D397:M397" si="156">SUM(D387:D393)</f>
        <v>0</v>
      </c>
      <c r="E397" s="8">
        <f t="shared" si="156"/>
        <v>0</v>
      </c>
      <c r="F397" s="8">
        <f t="shared" si="156"/>
        <v>0</v>
      </c>
      <c r="G397" s="8">
        <f t="shared" si="156"/>
        <v>0</v>
      </c>
      <c r="H397" s="8">
        <f t="shared" si="156"/>
        <v>0</v>
      </c>
      <c r="I397" s="8">
        <f t="shared" si="156"/>
        <v>0</v>
      </c>
      <c r="J397" s="8">
        <f t="shared" si="156"/>
        <v>0</v>
      </c>
      <c r="K397" s="8">
        <f t="shared" si="156"/>
        <v>0</v>
      </c>
      <c r="L397" s="8">
        <f t="shared" si="156"/>
        <v>0</v>
      </c>
      <c r="M397" s="8">
        <f t="shared" si="156"/>
        <v>0</v>
      </c>
      <c r="N397" s="8">
        <f t="shared" si="151"/>
        <v>0</v>
      </c>
      <c r="O397" s="8">
        <f t="shared" si="152"/>
        <v>0</v>
      </c>
      <c r="P397" s="8">
        <f t="shared" si="153"/>
        <v>0</v>
      </c>
      <c r="Q397" s="8">
        <f t="shared" si="154"/>
        <v>0</v>
      </c>
    </row>
    <row r="398" spans="1:1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8"/>
      <c r="O398" s="8"/>
      <c r="P398" s="11"/>
      <c r="Q398" s="11"/>
    </row>
    <row r="399" spans="1:17">
      <c r="A399" s="11"/>
      <c r="B399" s="8" t="s">
        <v>221</v>
      </c>
      <c r="C399" s="8" t="s">
        <v>37</v>
      </c>
      <c r="D399" s="8">
        <f t="shared" ref="D399:M399" si="157">LOG(D395+1,2)</f>
        <v>0</v>
      </c>
      <c r="E399" s="8">
        <f t="shared" si="157"/>
        <v>0</v>
      </c>
      <c r="F399" s="8">
        <f t="shared" si="157"/>
        <v>0</v>
      </c>
      <c r="G399" s="8">
        <f t="shared" si="157"/>
        <v>0</v>
      </c>
      <c r="H399" s="8">
        <f t="shared" si="157"/>
        <v>0</v>
      </c>
      <c r="I399" s="8">
        <f t="shared" si="157"/>
        <v>0</v>
      </c>
      <c r="J399" s="8">
        <f t="shared" si="157"/>
        <v>0</v>
      </c>
      <c r="K399" s="8">
        <f t="shared" si="157"/>
        <v>0</v>
      </c>
      <c r="L399" s="8">
        <f t="shared" si="157"/>
        <v>0</v>
      </c>
      <c r="M399" s="15">
        <f t="shared" si="157"/>
        <v>0</v>
      </c>
      <c r="N399" s="8"/>
      <c r="O399" s="8"/>
      <c r="P399" s="11"/>
      <c r="Q399" s="11"/>
    </row>
    <row r="400" spans="1:17">
      <c r="A400" s="11"/>
      <c r="B400" s="8" t="s">
        <v>221</v>
      </c>
      <c r="C400" s="8" t="s">
        <v>36</v>
      </c>
      <c r="D400" s="8">
        <f t="shared" ref="D400:M400" si="158">LOG(D396+1,2)</f>
        <v>0</v>
      </c>
      <c r="E400" s="8">
        <f t="shared" si="158"/>
        <v>2.96075243831676</v>
      </c>
      <c r="F400" s="8">
        <f t="shared" si="158"/>
        <v>0</v>
      </c>
      <c r="G400" s="8">
        <f t="shared" si="158"/>
        <v>0</v>
      </c>
      <c r="H400" s="8">
        <f t="shared" si="158"/>
        <v>0</v>
      </c>
      <c r="I400" s="8">
        <f t="shared" si="158"/>
        <v>0</v>
      </c>
      <c r="J400" s="8">
        <f t="shared" si="158"/>
        <v>6.63751080264203</v>
      </c>
      <c r="K400" s="8">
        <f t="shared" si="158"/>
        <v>0</v>
      </c>
      <c r="L400" s="8">
        <f t="shared" si="158"/>
        <v>0</v>
      </c>
      <c r="M400" s="15">
        <f t="shared" si="158"/>
        <v>0</v>
      </c>
      <c r="N400" s="8"/>
      <c r="O400" s="8"/>
      <c r="P400" s="11"/>
      <c r="Q400" s="11"/>
    </row>
    <row r="401" spans="1:17">
      <c r="A401" s="11"/>
      <c r="B401" s="8" t="s">
        <v>221</v>
      </c>
      <c r="C401" s="8" t="s">
        <v>35</v>
      </c>
      <c r="D401" s="8">
        <f t="shared" ref="D401:M401" si="159">LOG(D397+1,2)</f>
        <v>0</v>
      </c>
      <c r="E401" s="8">
        <f t="shared" si="159"/>
        <v>0</v>
      </c>
      <c r="F401" s="8">
        <f t="shared" si="159"/>
        <v>0</v>
      </c>
      <c r="G401" s="8">
        <f t="shared" si="159"/>
        <v>0</v>
      </c>
      <c r="H401" s="8">
        <f t="shared" si="159"/>
        <v>0</v>
      </c>
      <c r="I401" s="8">
        <f t="shared" si="159"/>
        <v>0</v>
      </c>
      <c r="J401" s="8">
        <f t="shared" si="159"/>
        <v>0</v>
      </c>
      <c r="K401" s="8">
        <f t="shared" si="159"/>
        <v>0</v>
      </c>
      <c r="L401" s="8">
        <f t="shared" si="159"/>
        <v>0</v>
      </c>
      <c r="M401" s="15">
        <f t="shared" si="159"/>
        <v>0</v>
      </c>
      <c r="N401" s="8"/>
      <c r="O401" s="8"/>
      <c r="P401" s="11"/>
      <c r="Q401" s="11"/>
    </row>
    <row r="402" spans="1:1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>
      <c r="A404" s="8" t="s">
        <v>222</v>
      </c>
      <c r="B404" s="8" t="s">
        <v>188</v>
      </c>
      <c r="C404" s="8" t="s">
        <v>189</v>
      </c>
      <c r="D404" s="8">
        <v>1.213346875511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1.62509085635534</v>
      </c>
      <c r="K404" s="8">
        <v>0</v>
      </c>
      <c r="L404" s="8">
        <v>0</v>
      </c>
      <c r="M404" s="8">
        <v>0</v>
      </c>
      <c r="N404" s="11"/>
      <c r="O404" s="11"/>
      <c r="P404" s="11"/>
      <c r="Q404" s="11"/>
    </row>
    <row r="405" spans="1:17">
      <c r="A405" s="8" t="s">
        <v>222</v>
      </c>
      <c r="B405" s="8" t="s">
        <v>190</v>
      </c>
      <c r="C405" s="8" t="s">
        <v>191</v>
      </c>
      <c r="D405" s="8">
        <v>0</v>
      </c>
      <c r="E405" s="8">
        <v>0</v>
      </c>
      <c r="F405" s="8">
        <v>0</v>
      </c>
      <c r="G405" s="8">
        <v>0.258308907363026</v>
      </c>
      <c r="H405" s="8">
        <v>0</v>
      </c>
      <c r="I405" s="8">
        <v>3.34916642696619</v>
      </c>
      <c r="J405" s="8">
        <v>0</v>
      </c>
      <c r="K405" s="8">
        <v>0</v>
      </c>
      <c r="L405" s="8">
        <v>0</v>
      </c>
      <c r="M405" s="8">
        <v>0</v>
      </c>
      <c r="N405" s="11"/>
      <c r="O405" s="11"/>
      <c r="P405" s="11"/>
      <c r="Q405" s="11"/>
    </row>
    <row r="406" spans="1:17">
      <c r="A406" s="8" t="s">
        <v>222</v>
      </c>
      <c r="B406" s="8" t="s">
        <v>192</v>
      </c>
      <c r="C406" s="8" t="s">
        <v>193</v>
      </c>
      <c r="D406" s="8">
        <v>0</v>
      </c>
      <c r="E406" s="8">
        <v>4.26050901572705</v>
      </c>
      <c r="F406" s="8">
        <v>4.4710850204342</v>
      </c>
      <c r="G406" s="8">
        <v>3.24428228453488</v>
      </c>
      <c r="H406" s="8">
        <v>0</v>
      </c>
      <c r="I406" s="8">
        <v>0</v>
      </c>
      <c r="J406" s="8">
        <v>0.803594985949773</v>
      </c>
      <c r="K406" s="8">
        <v>0</v>
      </c>
      <c r="L406" s="8">
        <v>1.26014140511851</v>
      </c>
      <c r="M406" s="8">
        <v>0</v>
      </c>
      <c r="N406" s="11"/>
      <c r="O406" s="11"/>
      <c r="P406" s="11"/>
      <c r="Q406" s="11"/>
    </row>
    <row r="407" spans="1:17">
      <c r="A407" s="8" t="s">
        <v>222</v>
      </c>
      <c r="B407" s="8" t="s">
        <v>192</v>
      </c>
      <c r="C407" s="8" t="s">
        <v>194</v>
      </c>
      <c r="D407" s="8">
        <v>0</v>
      </c>
      <c r="E407" s="8">
        <v>1.39223897909395</v>
      </c>
      <c r="F407" s="8">
        <v>3.77499920952505</v>
      </c>
      <c r="G407" s="8">
        <v>0</v>
      </c>
      <c r="H407" s="8">
        <v>1.81560434212723</v>
      </c>
      <c r="I407" s="8">
        <v>0</v>
      </c>
      <c r="J407" s="8">
        <v>0</v>
      </c>
      <c r="K407" s="8">
        <v>0</v>
      </c>
      <c r="L407" s="8">
        <v>4.79272690294976</v>
      </c>
      <c r="M407" s="8">
        <v>0</v>
      </c>
      <c r="N407" s="11"/>
      <c r="O407" s="11"/>
      <c r="P407" s="11"/>
      <c r="Q407" s="11"/>
    </row>
    <row r="408" spans="1:17">
      <c r="A408" s="8" t="s">
        <v>222</v>
      </c>
      <c r="B408" s="8" t="s">
        <v>195</v>
      </c>
      <c r="C408" s="8" t="s">
        <v>196</v>
      </c>
      <c r="D408" s="8">
        <v>0</v>
      </c>
      <c r="E408" s="8">
        <v>0</v>
      </c>
      <c r="F408" s="8">
        <v>0</v>
      </c>
      <c r="G408" s="8">
        <v>2.83385828157168</v>
      </c>
      <c r="H408" s="8">
        <v>0</v>
      </c>
      <c r="I408" s="8">
        <v>0</v>
      </c>
      <c r="J408" s="8">
        <v>0</v>
      </c>
      <c r="K408" s="8">
        <v>0</v>
      </c>
      <c r="L408" s="8">
        <v>1.98518845382111</v>
      </c>
      <c r="M408" s="8">
        <v>0</v>
      </c>
      <c r="N408" s="11"/>
      <c r="O408" s="11"/>
      <c r="P408" s="11"/>
      <c r="Q408" s="11"/>
    </row>
    <row r="409" spans="1:17">
      <c r="A409" s="8" t="s">
        <v>222</v>
      </c>
      <c r="B409" s="8" t="s">
        <v>195</v>
      </c>
      <c r="C409" s="8" t="s">
        <v>197</v>
      </c>
      <c r="D409" s="8">
        <v>0</v>
      </c>
      <c r="E409" s="8">
        <v>0</v>
      </c>
      <c r="F409" s="8">
        <v>0</v>
      </c>
      <c r="G409" s="8">
        <v>7.90658093930566</v>
      </c>
      <c r="H409" s="8">
        <v>0</v>
      </c>
      <c r="I409" s="8">
        <v>0</v>
      </c>
      <c r="J409" s="8">
        <v>0</v>
      </c>
      <c r="K409" s="8">
        <v>0</v>
      </c>
      <c r="L409" s="8">
        <v>0.706135483755865</v>
      </c>
      <c r="M409" s="8">
        <v>0</v>
      </c>
      <c r="N409" s="11"/>
      <c r="O409" s="11"/>
      <c r="P409" s="11"/>
      <c r="Q409" s="11"/>
    </row>
    <row r="410" spans="1:17">
      <c r="A410" s="8" t="s">
        <v>222</v>
      </c>
      <c r="B410" s="8" t="s">
        <v>198</v>
      </c>
      <c r="C410" s="8" t="s">
        <v>199</v>
      </c>
      <c r="D410" s="8">
        <v>0</v>
      </c>
      <c r="E410" s="8">
        <v>2.3194896735143</v>
      </c>
      <c r="F410" s="8">
        <v>1.96629144698077</v>
      </c>
      <c r="G410" s="8">
        <v>3.04408747989383</v>
      </c>
      <c r="H410" s="8">
        <v>0</v>
      </c>
      <c r="I410" s="8">
        <v>0</v>
      </c>
      <c r="J410" s="8">
        <v>0</v>
      </c>
      <c r="K410" s="8">
        <v>0</v>
      </c>
      <c r="L410" s="8">
        <v>0.47405464994476</v>
      </c>
      <c r="M410" s="8">
        <v>0</v>
      </c>
      <c r="N410" s="11"/>
      <c r="O410" s="11"/>
      <c r="P410" s="11"/>
      <c r="Q410" s="11"/>
    </row>
    <row r="411" spans="1:17">
      <c r="A411" s="8" t="s">
        <v>222</v>
      </c>
      <c r="B411" s="8" t="s">
        <v>36</v>
      </c>
      <c r="C411" s="8" t="s">
        <v>130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11"/>
      <c r="O411" s="11"/>
      <c r="P411" s="11"/>
      <c r="Q411" s="11"/>
    </row>
    <row r="412" spans="1:17">
      <c r="A412" s="8" t="s">
        <v>222</v>
      </c>
      <c r="B412" s="8" t="s">
        <v>200</v>
      </c>
      <c r="C412" s="8" t="s">
        <v>97</v>
      </c>
      <c r="D412" s="8">
        <v>0</v>
      </c>
      <c r="E412" s="8">
        <v>1.47266930274003</v>
      </c>
      <c r="F412" s="8">
        <v>1.8128429377934</v>
      </c>
      <c r="G412" s="8">
        <v>6.30581167990572</v>
      </c>
      <c r="H412" s="8">
        <v>3.23179985771876</v>
      </c>
      <c r="I412" s="8">
        <v>0</v>
      </c>
      <c r="J412" s="8">
        <v>0</v>
      </c>
      <c r="K412" s="8">
        <v>0.927419115590327</v>
      </c>
      <c r="L412" s="8">
        <v>12.3373659321586</v>
      </c>
      <c r="M412" s="8">
        <v>19.7284797060198</v>
      </c>
      <c r="N412" s="11"/>
      <c r="O412" s="11"/>
      <c r="P412" s="11"/>
      <c r="Q412" s="11"/>
    </row>
    <row r="413" spans="1:17">
      <c r="A413" s="8" t="s">
        <v>222</v>
      </c>
      <c r="B413" s="8" t="s">
        <v>200</v>
      </c>
      <c r="C413" s="8" t="s">
        <v>98</v>
      </c>
      <c r="D413" s="8">
        <v>0</v>
      </c>
      <c r="E413" s="8">
        <v>0.418231252161127</v>
      </c>
      <c r="F413" s="8">
        <v>0</v>
      </c>
      <c r="G413" s="8">
        <v>0</v>
      </c>
      <c r="H413" s="8">
        <v>0</v>
      </c>
      <c r="I413" s="8">
        <v>0</v>
      </c>
      <c r="J413" s="8">
        <v>11.4203123288338</v>
      </c>
      <c r="K413" s="8">
        <v>0</v>
      </c>
      <c r="L413" s="8">
        <v>14.1560922868729</v>
      </c>
      <c r="M413" s="8">
        <v>0</v>
      </c>
      <c r="N413" s="11"/>
      <c r="O413" s="11"/>
      <c r="P413" s="11"/>
      <c r="Q413" s="11"/>
    </row>
    <row r="414" spans="1:17">
      <c r="A414" s="8" t="s">
        <v>222</v>
      </c>
      <c r="B414" s="8" t="s">
        <v>200</v>
      </c>
      <c r="C414" s="8" t="s">
        <v>95</v>
      </c>
      <c r="D414" s="8">
        <v>0</v>
      </c>
      <c r="E414" s="8">
        <v>12.3843307773678</v>
      </c>
      <c r="F414" s="8">
        <v>2.69721686714999</v>
      </c>
      <c r="G414" s="8">
        <v>1.38673418458714</v>
      </c>
      <c r="H414" s="8">
        <v>0</v>
      </c>
      <c r="I414" s="8">
        <v>0</v>
      </c>
      <c r="J414" s="8">
        <v>0</v>
      </c>
      <c r="K414" s="8">
        <v>15.3802879001683</v>
      </c>
      <c r="L414" s="8">
        <v>4.19181563685352</v>
      </c>
      <c r="M414" s="8">
        <v>0</v>
      </c>
      <c r="N414" s="11"/>
      <c r="O414" s="11"/>
      <c r="P414" s="11"/>
      <c r="Q414" s="11"/>
    </row>
    <row r="415" spans="1:17">
      <c r="A415" s="8" t="s">
        <v>222</v>
      </c>
      <c r="B415" s="8" t="s">
        <v>200</v>
      </c>
      <c r="C415" s="8" t="s">
        <v>93</v>
      </c>
      <c r="D415" s="8">
        <v>0</v>
      </c>
      <c r="E415" s="8">
        <v>2.7859302624807</v>
      </c>
      <c r="F415" s="8">
        <v>0</v>
      </c>
      <c r="G415" s="8">
        <v>6.37419915520427</v>
      </c>
      <c r="H415" s="8">
        <v>3.12351955255531</v>
      </c>
      <c r="I415" s="8">
        <v>0</v>
      </c>
      <c r="J415" s="8">
        <v>0</v>
      </c>
      <c r="K415" s="8">
        <v>2.82215972472127</v>
      </c>
      <c r="L415" s="8">
        <v>3.47449934359534</v>
      </c>
      <c r="M415" s="8">
        <v>3.99355594499664</v>
      </c>
      <c r="N415" s="11"/>
      <c r="O415" s="11"/>
      <c r="P415" s="11"/>
      <c r="Q415" s="11"/>
    </row>
    <row r="416" spans="1:17">
      <c r="A416" s="8" t="s">
        <v>222</v>
      </c>
      <c r="B416" s="8" t="s">
        <v>200</v>
      </c>
      <c r="C416" s="8" t="s">
        <v>96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11"/>
      <c r="O416" s="11"/>
      <c r="P416" s="11"/>
      <c r="Q416" s="11"/>
    </row>
    <row r="417" spans="1:17">
      <c r="A417" s="8" t="s">
        <v>222</v>
      </c>
      <c r="B417" s="8" t="s">
        <v>200</v>
      </c>
      <c r="C417" s="8" t="s">
        <v>94</v>
      </c>
      <c r="D417" s="8">
        <v>0</v>
      </c>
      <c r="E417" s="8">
        <v>0</v>
      </c>
      <c r="F417" s="8">
        <v>0.742738988931216</v>
      </c>
      <c r="G417" s="8">
        <v>6.0145</v>
      </c>
      <c r="H417" s="8">
        <v>0</v>
      </c>
      <c r="I417" s="8">
        <v>1.41410064069813</v>
      </c>
      <c r="J417" s="8">
        <v>0</v>
      </c>
      <c r="K417" s="8">
        <v>0.586192701016107</v>
      </c>
      <c r="L417" s="8">
        <v>8.97306350086113</v>
      </c>
      <c r="M417" s="8">
        <v>0</v>
      </c>
      <c r="N417" s="11"/>
      <c r="O417" s="11"/>
      <c r="P417" s="11"/>
      <c r="Q417" s="11"/>
    </row>
    <row r="418" spans="1:17">
      <c r="A418" s="8" t="s">
        <v>222</v>
      </c>
      <c r="B418" s="8" t="s">
        <v>201</v>
      </c>
      <c r="C418" s="8" t="s">
        <v>202</v>
      </c>
      <c r="D418" s="8">
        <v>0</v>
      </c>
      <c r="E418" s="8">
        <v>0.693097694793086</v>
      </c>
      <c r="F418" s="8">
        <v>0.674262912879628</v>
      </c>
      <c r="G418" s="8">
        <v>18.835072125733</v>
      </c>
      <c r="H418" s="8">
        <v>0</v>
      </c>
      <c r="I418" s="8">
        <v>15.8042237219521</v>
      </c>
      <c r="J418" s="8">
        <v>50.8090073153932</v>
      </c>
      <c r="K418" s="8">
        <v>2.36225468164794</v>
      </c>
      <c r="L418" s="8">
        <v>28.6132086314396</v>
      </c>
      <c r="M418" s="8">
        <v>90.3411701105915</v>
      </c>
      <c r="N418" s="11"/>
      <c r="O418" s="11"/>
      <c r="P418" s="11"/>
      <c r="Q418" s="11"/>
    </row>
    <row r="419" spans="1:17">
      <c r="A419" s="11"/>
      <c r="B419" s="11"/>
      <c r="C419" s="11"/>
      <c r="D419" s="2" t="s">
        <v>185</v>
      </c>
      <c r="E419" s="3"/>
      <c r="F419" s="3"/>
      <c r="G419" s="3"/>
      <c r="H419" s="4"/>
      <c r="I419" s="5" t="s">
        <v>186</v>
      </c>
      <c r="J419" s="6"/>
      <c r="K419" s="6"/>
      <c r="L419" s="6"/>
      <c r="M419" s="7"/>
      <c r="N419" s="8" t="s">
        <v>203</v>
      </c>
      <c r="O419" s="8" t="s">
        <v>203</v>
      </c>
      <c r="P419" s="8" t="s">
        <v>248</v>
      </c>
      <c r="Q419" s="8" t="s">
        <v>248</v>
      </c>
    </row>
    <row r="420" spans="1:17">
      <c r="A420" s="11"/>
      <c r="B420" s="8" t="s">
        <v>222</v>
      </c>
      <c r="C420" s="8" t="s">
        <v>37</v>
      </c>
      <c r="D420" s="8">
        <f t="shared" ref="D420:M420" si="160">SUM(D404:D410)</f>
        <v>1.213346875511</v>
      </c>
      <c r="E420" s="8">
        <f t="shared" si="160"/>
        <v>7.9722376683353</v>
      </c>
      <c r="F420" s="8">
        <f t="shared" si="160"/>
        <v>10.21237567694</v>
      </c>
      <c r="G420" s="8">
        <f t="shared" si="160"/>
        <v>17.2871178926691</v>
      </c>
      <c r="H420" s="8">
        <f t="shared" si="160"/>
        <v>1.81560434212723</v>
      </c>
      <c r="I420" s="8">
        <f t="shared" si="160"/>
        <v>3.34916642696619</v>
      </c>
      <c r="J420" s="8">
        <f t="shared" si="160"/>
        <v>2.42868584230511</v>
      </c>
      <c r="K420" s="8">
        <f t="shared" si="160"/>
        <v>0</v>
      </c>
      <c r="L420" s="8">
        <f t="shared" si="160"/>
        <v>9.21824689559001</v>
      </c>
      <c r="M420" s="8">
        <f t="shared" si="160"/>
        <v>0</v>
      </c>
      <c r="N420" s="8">
        <f t="shared" ref="N420:N422" si="161">AVERAGE(D420:H420)</f>
        <v>7.70013649111653</v>
      </c>
      <c r="O420" s="8">
        <f t="shared" ref="O420:O422" si="162">AVERAGE(I420:M420)</f>
        <v>2.99921983297226</v>
      </c>
      <c r="P420" s="8">
        <f t="shared" ref="P420:P422" si="163">LOG(N420+1,2)</f>
        <v>3.12103803469841</v>
      </c>
      <c r="Q420" s="8">
        <f t="shared" ref="Q420:Q422" si="164">LOG(O420+1,2)</f>
        <v>1.99971858677995</v>
      </c>
    </row>
    <row r="421" spans="1:17">
      <c r="A421" s="11"/>
      <c r="B421" s="8" t="s">
        <v>222</v>
      </c>
      <c r="C421" s="8" t="s">
        <v>36</v>
      </c>
      <c r="D421" s="8">
        <f t="shared" ref="D421:M421" si="165">D411</f>
        <v>0</v>
      </c>
      <c r="E421" s="8">
        <f t="shared" si="165"/>
        <v>0</v>
      </c>
      <c r="F421" s="8">
        <f t="shared" si="165"/>
        <v>0</v>
      </c>
      <c r="G421" s="8">
        <f t="shared" si="165"/>
        <v>0</v>
      </c>
      <c r="H421" s="8">
        <f t="shared" si="165"/>
        <v>0</v>
      </c>
      <c r="I421" s="8">
        <f t="shared" si="165"/>
        <v>0</v>
      </c>
      <c r="J421" s="8">
        <f t="shared" si="165"/>
        <v>0</v>
      </c>
      <c r="K421" s="8">
        <f t="shared" si="165"/>
        <v>0</v>
      </c>
      <c r="L421" s="8">
        <f t="shared" si="165"/>
        <v>0</v>
      </c>
      <c r="M421" s="8">
        <f t="shared" si="165"/>
        <v>0</v>
      </c>
      <c r="N421" s="8">
        <f t="shared" si="161"/>
        <v>0</v>
      </c>
      <c r="O421" s="8">
        <f t="shared" si="162"/>
        <v>0</v>
      </c>
      <c r="P421" s="8">
        <f t="shared" si="163"/>
        <v>0</v>
      </c>
      <c r="Q421" s="8">
        <f t="shared" si="164"/>
        <v>0</v>
      </c>
    </row>
    <row r="422" spans="1:17">
      <c r="A422" s="11"/>
      <c r="B422" s="8" t="s">
        <v>222</v>
      </c>
      <c r="C422" s="8" t="s">
        <v>35</v>
      </c>
      <c r="D422" s="8">
        <f t="shared" ref="D422:M422" si="166">SUM(D412:D418)</f>
        <v>0</v>
      </c>
      <c r="E422" s="8">
        <f t="shared" si="166"/>
        <v>17.7542592895427</v>
      </c>
      <c r="F422" s="8">
        <f t="shared" si="166"/>
        <v>5.92706170675423</v>
      </c>
      <c r="G422" s="8">
        <f t="shared" si="166"/>
        <v>38.9163171454301</v>
      </c>
      <c r="H422" s="8">
        <f t="shared" si="166"/>
        <v>6.35531941027407</v>
      </c>
      <c r="I422" s="8">
        <f t="shared" si="166"/>
        <v>17.2183243626503</v>
      </c>
      <c r="J422" s="8">
        <f t="shared" si="166"/>
        <v>62.229319644227</v>
      </c>
      <c r="K422" s="8">
        <f t="shared" si="166"/>
        <v>22.078314123144</v>
      </c>
      <c r="L422" s="8">
        <f t="shared" si="166"/>
        <v>71.7460453317811</v>
      </c>
      <c r="M422" s="8">
        <f t="shared" si="166"/>
        <v>114.063205761608</v>
      </c>
      <c r="N422" s="8">
        <f t="shared" si="161"/>
        <v>13.7905915104002</v>
      </c>
      <c r="O422" s="8">
        <f t="shared" si="162"/>
        <v>57.467041844682</v>
      </c>
      <c r="P422" s="8">
        <f t="shared" si="163"/>
        <v>3.88660784523217</v>
      </c>
      <c r="Q422" s="8">
        <f t="shared" si="164"/>
        <v>5.86955169451681</v>
      </c>
    </row>
    <row r="423" spans="1:1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8"/>
      <c r="O423" s="8"/>
      <c r="P423" s="11"/>
      <c r="Q423" s="11"/>
    </row>
    <row r="424" spans="1:17">
      <c r="A424" s="11"/>
      <c r="B424" s="8" t="s">
        <v>222</v>
      </c>
      <c r="C424" s="8" t="s">
        <v>37</v>
      </c>
      <c r="D424" s="8">
        <f t="shared" ref="D424:M424" si="167">LOG(D420+1,2)</f>
        <v>1.14622956788694</v>
      </c>
      <c r="E424" s="8">
        <f t="shared" si="167"/>
        <v>3.16546783691853</v>
      </c>
      <c r="F424" s="8">
        <f t="shared" si="167"/>
        <v>3.48702008348729</v>
      </c>
      <c r="G424" s="8">
        <f t="shared" si="167"/>
        <v>4.19275581461076</v>
      </c>
      <c r="H424" s="8">
        <f t="shared" si="167"/>
        <v>1.49344461602232</v>
      </c>
      <c r="I424" s="8">
        <f t="shared" si="167"/>
        <v>2.12073891661177</v>
      </c>
      <c r="J424" s="8">
        <f t="shared" si="167"/>
        <v>1.77765572156375</v>
      </c>
      <c r="K424" s="8">
        <f t="shared" si="167"/>
        <v>0</v>
      </c>
      <c r="L424" s="8">
        <f t="shared" si="167"/>
        <v>3.35307579488226</v>
      </c>
      <c r="M424" s="15">
        <f t="shared" si="167"/>
        <v>0</v>
      </c>
      <c r="N424" s="8"/>
      <c r="O424" s="8"/>
      <c r="P424" s="11">
        <f>O422/N422</f>
        <v>4.1671194307614</v>
      </c>
      <c r="Q424" s="11"/>
    </row>
    <row r="425" spans="1:17">
      <c r="A425" s="11"/>
      <c r="B425" s="8" t="s">
        <v>222</v>
      </c>
      <c r="C425" s="8" t="s">
        <v>36</v>
      </c>
      <c r="D425" s="8">
        <f t="shared" ref="D425:M425" si="168">LOG(D421+1,2)</f>
        <v>0</v>
      </c>
      <c r="E425" s="8">
        <f t="shared" si="168"/>
        <v>0</v>
      </c>
      <c r="F425" s="8">
        <f t="shared" si="168"/>
        <v>0</v>
      </c>
      <c r="G425" s="8">
        <f t="shared" si="168"/>
        <v>0</v>
      </c>
      <c r="H425" s="8">
        <f t="shared" si="168"/>
        <v>0</v>
      </c>
      <c r="I425" s="8">
        <f t="shared" si="168"/>
        <v>0</v>
      </c>
      <c r="J425" s="8">
        <f t="shared" si="168"/>
        <v>0</v>
      </c>
      <c r="K425" s="8">
        <f t="shared" si="168"/>
        <v>0</v>
      </c>
      <c r="L425" s="8">
        <f t="shared" si="168"/>
        <v>0</v>
      </c>
      <c r="M425" s="15">
        <f t="shared" si="168"/>
        <v>0</v>
      </c>
      <c r="N425" s="8"/>
      <c r="O425" s="8"/>
      <c r="P425" s="11"/>
      <c r="Q425" s="11"/>
    </row>
    <row r="426" spans="1:17">
      <c r="A426" s="11"/>
      <c r="B426" s="8" t="s">
        <v>222</v>
      </c>
      <c r="C426" s="8" t="s">
        <v>35</v>
      </c>
      <c r="D426" s="8">
        <f t="shared" ref="D426:M426" si="169">LOG(D422+1,2)</f>
        <v>0</v>
      </c>
      <c r="E426" s="8">
        <f t="shared" si="169"/>
        <v>4.22914637892615</v>
      </c>
      <c r="F426" s="8">
        <f t="shared" si="169"/>
        <v>2.7922435255196</v>
      </c>
      <c r="G426" s="8">
        <f t="shared" si="169"/>
        <v>5.31890671232787</v>
      </c>
      <c r="H426" s="8">
        <f t="shared" si="169"/>
        <v>2.87878799295702</v>
      </c>
      <c r="I426" s="8">
        <f t="shared" si="169"/>
        <v>4.18731836770112</v>
      </c>
      <c r="J426" s="8">
        <f t="shared" si="169"/>
        <v>5.98252179089491</v>
      </c>
      <c r="K426" s="8">
        <f t="shared" si="169"/>
        <v>4.52846593347153</v>
      </c>
      <c r="L426" s="8">
        <f t="shared" si="169"/>
        <v>6.18479691630616</v>
      </c>
      <c r="M426" s="15">
        <f t="shared" si="169"/>
        <v>6.84628276041584</v>
      </c>
      <c r="N426" s="8">
        <v>0.040847</v>
      </c>
      <c r="O426" s="8" t="s">
        <v>251</v>
      </c>
      <c r="P426" s="11"/>
      <c r="Q426" s="11"/>
    </row>
    <row r="427" spans="1:1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>
      <c r="A429" s="8" t="s">
        <v>223</v>
      </c>
      <c r="B429" s="8" t="s">
        <v>188</v>
      </c>
      <c r="C429" s="8" t="s">
        <v>189</v>
      </c>
      <c r="D429" s="8">
        <v>6.48656677918462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0.55484757893818</v>
      </c>
      <c r="K429" s="8">
        <v>0</v>
      </c>
      <c r="L429" s="8">
        <v>0</v>
      </c>
      <c r="M429" s="8">
        <v>0</v>
      </c>
      <c r="N429" s="11"/>
      <c r="O429" s="11"/>
      <c r="P429" s="11"/>
      <c r="Q429" s="11"/>
    </row>
    <row r="430" spans="1:17">
      <c r="A430" s="8" t="s">
        <v>223</v>
      </c>
      <c r="B430" s="8" t="s">
        <v>190</v>
      </c>
      <c r="C430" s="8" t="s">
        <v>191</v>
      </c>
      <c r="D430" s="8">
        <v>1.26356359289297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0.748904147085243</v>
      </c>
      <c r="K430" s="8">
        <v>0</v>
      </c>
      <c r="L430" s="8">
        <v>0</v>
      </c>
      <c r="M430" s="8">
        <v>0</v>
      </c>
      <c r="N430" s="11"/>
      <c r="O430" s="11"/>
      <c r="P430" s="11"/>
      <c r="Q430" s="11"/>
    </row>
    <row r="431" spans="1:17">
      <c r="A431" s="8" t="s">
        <v>223</v>
      </c>
      <c r="B431" s="8" t="s">
        <v>192</v>
      </c>
      <c r="C431" s="8" t="s">
        <v>193</v>
      </c>
      <c r="D431" s="8">
        <v>0</v>
      </c>
      <c r="E431" s="8">
        <v>0</v>
      </c>
      <c r="F431" s="8">
        <v>0</v>
      </c>
      <c r="G431" s="8">
        <v>5.40062830622411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11"/>
      <c r="O431" s="11"/>
      <c r="P431" s="11"/>
      <c r="Q431" s="11"/>
    </row>
    <row r="432" spans="1:17">
      <c r="A432" s="8" t="s">
        <v>223</v>
      </c>
      <c r="B432" s="8" t="s">
        <v>192</v>
      </c>
      <c r="C432" s="8" t="s">
        <v>194</v>
      </c>
      <c r="D432" s="8">
        <v>0</v>
      </c>
      <c r="E432" s="8">
        <v>0</v>
      </c>
      <c r="F432" s="8">
        <v>0</v>
      </c>
      <c r="G432" s="8">
        <v>0.568112067466528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11"/>
      <c r="O432" s="11"/>
      <c r="P432" s="11"/>
      <c r="Q432" s="11"/>
    </row>
    <row r="433" spans="1:17">
      <c r="A433" s="8" t="s">
        <v>223</v>
      </c>
      <c r="B433" s="8" t="s">
        <v>195</v>
      </c>
      <c r="C433" s="8" t="s">
        <v>196</v>
      </c>
      <c r="D433" s="8">
        <v>0</v>
      </c>
      <c r="E433" s="8">
        <v>0</v>
      </c>
      <c r="F433" s="8">
        <v>1.56413366937833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11"/>
      <c r="O433" s="11"/>
      <c r="P433" s="11"/>
      <c r="Q433" s="11"/>
    </row>
    <row r="434" spans="1:17">
      <c r="A434" s="8" t="s">
        <v>223</v>
      </c>
      <c r="B434" s="8" t="s">
        <v>195</v>
      </c>
      <c r="C434" s="8" t="s">
        <v>197</v>
      </c>
      <c r="D434" s="8">
        <v>0</v>
      </c>
      <c r="E434" s="8">
        <v>0</v>
      </c>
      <c r="F434" s="8">
        <v>1.03744377228052</v>
      </c>
      <c r="G434" s="8">
        <v>0</v>
      </c>
      <c r="H434" s="8">
        <v>0</v>
      </c>
      <c r="I434" s="8">
        <v>0</v>
      </c>
      <c r="J434" s="8">
        <v>0.308340101387057</v>
      </c>
      <c r="K434" s="8">
        <v>0</v>
      </c>
      <c r="L434" s="8">
        <v>0</v>
      </c>
      <c r="M434" s="8">
        <v>0</v>
      </c>
      <c r="N434" s="11"/>
      <c r="O434" s="11"/>
      <c r="P434" s="11"/>
      <c r="Q434" s="11"/>
    </row>
    <row r="435" spans="1:17">
      <c r="A435" s="8" t="s">
        <v>223</v>
      </c>
      <c r="B435" s="8" t="s">
        <v>198</v>
      </c>
      <c r="C435" s="8" t="s">
        <v>199</v>
      </c>
      <c r="D435" s="8">
        <v>0.715326034837842</v>
      </c>
      <c r="E435" s="8">
        <v>0</v>
      </c>
      <c r="F435" s="8">
        <v>1.09303081390135</v>
      </c>
      <c r="G435" s="8">
        <v>0</v>
      </c>
      <c r="H435" s="8">
        <v>1.18578507001793</v>
      </c>
      <c r="I435" s="8">
        <v>1.5132747049487</v>
      </c>
      <c r="J435" s="8">
        <v>0</v>
      </c>
      <c r="K435" s="8">
        <v>0</v>
      </c>
      <c r="L435" s="8">
        <v>0</v>
      </c>
      <c r="M435" s="8">
        <v>0</v>
      </c>
      <c r="N435" s="11"/>
      <c r="O435" s="11"/>
      <c r="P435" s="11"/>
      <c r="Q435" s="11"/>
    </row>
    <row r="436" spans="1:17">
      <c r="A436" s="8" t="s">
        <v>223</v>
      </c>
      <c r="B436" s="8" t="s">
        <v>36</v>
      </c>
      <c r="C436" s="8" t="s">
        <v>130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11"/>
      <c r="O436" s="11"/>
      <c r="P436" s="11"/>
      <c r="Q436" s="11"/>
    </row>
    <row r="437" spans="1:17">
      <c r="A437" s="8" t="s">
        <v>223</v>
      </c>
      <c r="B437" s="8" t="s">
        <v>200</v>
      </c>
      <c r="C437" s="8" t="s">
        <v>97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65.4070704382123</v>
      </c>
      <c r="K437" s="8">
        <v>0</v>
      </c>
      <c r="L437" s="8">
        <v>0</v>
      </c>
      <c r="M437" s="8">
        <v>0</v>
      </c>
      <c r="N437" s="11"/>
      <c r="O437" s="11"/>
      <c r="P437" s="11"/>
      <c r="Q437" s="11"/>
    </row>
    <row r="438" spans="1:17">
      <c r="A438" s="8" t="s">
        <v>223</v>
      </c>
      <c r="B438" s="8" t="s">
        <v>200</v>
      </c>
      <c r="C438" s="8" t="s">
        <v>98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4.49175138865451</v>
      </c>
      <c r="K438" s="8">
        <v>0</v>
      </c>
      <c r="L438" s="8">
        <v>0</v>
      </c>
      <c r="M438" s="8">
        <v>0.20497659978685</v>
      </c>
      <c r="N438" s="11"/>
      <c r="O438" s="11"/>
      <c r="P438" s="11"/>
      <c r="Q438" s="11"/>
    </row>
    <row r="439" spans="1:17">
      <c r="A439" s="8" t="s">
        <v>223</v>
      </c>
      <c r="B439" s="8" t="s">
        <v>200</v>
      </c>
      <c r="C439" s="8" t="s">
        <v>95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11"/>
      <c r="O439" s="11"/>
      <c r="P439" s="11"/>
      <c r="Q439" s="11"/>
    </row>
    <row r="440" spans="1:17">
      <c r="A440" s="8" t="s">
        <v>223</v>
      </c>
      <c r="B440" s="8" t="s">
        <v>200</v>
      </c>
      <c r="C440" s="8" t="s">
        <v>93</v>
      </c>
      <c r="D440" s="8">
        <v>0</v>
      </c>
      <c r="E440" s="8">
        <v>1.0367093889473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5.08117865807119</v>
      </c>
      <c r="M440" s="8">
        <v>0</v>
      </c>
      <c r="N440" s="11"/>
      <c r="O440" s="11"/>
      <c r="P440" s="11"/>
      <c r="Q440" s="11"/>
    </row>
    <row r="441" spans="1:17">
      <c r="A441" s="8" t="s">
        <v>223</v>
      </c>
      <c r="B441" s="8" t="s">
        <v>200</v>
      </c>
      <c r="C441" s="8" t="s">
        <v>96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11"/>
      <c r="O441" s="11"/>
      <c r="P441" s="11"/>
      <c r="Q441" s="11"/>
    </row>
    <row r="442" spans="1:17">
      <c r="A442" s="8" t="s">
        <v>223</v>
      </c>
      <c r="B442" s="8" t="s">
        <v>200</v>
      </c>
      <c r="C442" s="8" t="s">
        <v>94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0.132572637269015</v>
      </c>
      <c r="M442" s="8">
        <v>3.45149977869327</v>
      </c>
      <c r="N442" s="11"/>
      <c r="O442" s="11"/>
      <c r="P442" s="11"/>
      <c r="Q442" s="11"/>
    </row>
    <row r="443" spans="1:17">
      <c r="A443" s="8" t="s">
        <v>223</v>
      </c>
      <c r="B443" s="8" t="s">
        <v>201</v>
      </c>
      <c r="C443" s="8" t="s">
        <v>202</v>
      </c>
      <c r="D443" s="8">
        <v>0</v>
      </c>
      <c r="E443" s="8">
        <v>0.932930559369703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5.58958390417898</v>
      </c>
      <c r="M443" s="8">
        <v>0</v>
      </c>
      <c r="N443" s="11"/>
      <c r="O443" s="11"/>
      <c r="P443" s="11"/>
      <c r="Q443" s="11"/>
    </row>
    <row r="444" spans="1:17">
      <c r="A444" s="11"/>
      <c r="B444" s="11"/>
      <c r="C444" s="11"/>
      <c r="D444" s="2" t="s">
        <v>185</v>
      </c>
      <c r="E444" s="3"/>
      <c r="F444" s="3"/>
      <c r="G444" s="3"/>
      <c r="H444" s="4"/>
      <c r="I444" s="5" t="s">
        <v>186</v>
      </c>
      <c r="J444" s="6"/>
      <c r="K444" s="6"/>
      <c r="L444" s="6"/>
      <c r="M444" s="7"/>
      <c r="N444" s="8" t="s">
        <v>203</v>
      </c>
      <c r="O444" s="8" t="s">
        <v>203</v>
      </c>
      <c r="P444" s="8" t="s">
        <v>248</v>
      </c>
      <c r="Q444" s="8" t="s">
        <v>248</v>
      </c>
    </row>
    <row r="445" spans="1:17">
      <c r="A445" s="11"/>
      <c r="B445" s="8" t="s">
        <v>223</v>
      </c>
      <c r="C445" s="8" t="s">
        <v>37</v>
      </c>
      <c r="D445" s="8">
        <f t="shared" ref="D445:M445" si="170">SUM(D429:D435)</f>
        <v>8.46545640691544</v>
      </c>
      <c r="E445" s="8">
        <f t="shared" si="170"/>
        <v>0</v>
      </c>
      <c r="F445" s="8">
        <f t="shared" si="170"/>
        <v>3.6946082555602</v>
      </c>
      <c r="G445" s="8">
        <f t="shared" si="170"/>
        <v>5.96874037369064</v>
      </c>
      <c r="H445" s="8">
        <f t="shared" si="170"/>
        <v>1.18578507001793</v>
      </c>
      <c r="I445" s="8">
        <f t="shared" si="170"/>
        <v>1.5132747049487</v>
      </c>
      <c r="J445" s="8">
        <f t="shared" si="170"/>
        <v>1.61209182741048</v>
      </c>
      <c r="K445" s="8">
        <f t="shared" si="170"/>
        <v>0</v>
      </c>
      <c r="L445" s="8">
        <f t="shared" si="170"/>
        <v>0</v>
      </c>
      <c r="M445" s="8">
        <f t="shared" si="170"/>
        <v>0</v>
      </c>
      <c r="N445" s="8">
        <f t="shared" ref="N445:N447" si="171">AVERAGE(D445:H445)</f>
        <v>3.86291802123684</v>
      </c>
      <c r="O445" s="8">
        <f t="shared" ref="O445:O447" si="172">AVERAGE(I445:M445)</f>
        <v>0.625073306471836</v>
      </c>
      <c r="P445" s="8">
        <f t="shared" ref="P445:P447" si="173">LOG(N445+1,2)</f>
        <v>2.28182227092023</v>
      </c>
      <c r="Q445" s="8">
        <f t="shared" ref="Q445:Q447" si="174">LOG(O445+1,2)</f>
        <v>0.700504799062922</v>
      </c>
    </row>
    <row r="446" spans="1:17">
      <c r="A446" s="11"/>
      <c r="B446" s="8" t="s">
        <v>223</v>
      </c>
      <c r="C446" s="8" t="s">
        <v>36</v>
      </c>
      <c r="D446" s="8">
        <f t="shared" ref="D446:M446" si="175">D436</f>
        <v>0</v>
      </c>
      <c r="E446" s="8">
        <f t="shared" si="175"/>
        <v>0</v>
      </c>
      <c r="F446" s="8">
        <f t="shared" si="175"/>
        <v>0</v>
      </c>
      <c r="G446" s="8">
        <f t="shared" si="175"/>
        <v>0</v>
      </c>
      <c r="H446" s="8">
        <f t="shared" si="175"/>
        <v>0</v>
      </c>
      <c r="I446" s="8">
        <f t="shared" si="175"/>
        <v>0</v>
      </c>
      <c r="J446" s="8">
        <f t="shared" si="175"/>
        <v>0</v>
      </c>
      <c r="K446" s="8">
        <f t="shared" si="175"/>
        <v>0</v>
      </c>
      <c r="L446" s="8">
        <f t="shared" si="175"/>
        <v>0</v>
      </c>
      <c r="M446" s="8">
        <f t="shared" si="175"/>
        <v>0</v>
      </c>
      <c r="N446" s="8">
        <f t="shared" si="171"/>
        <v>0</v>
      </c>
      <c r="O446" s="8">
        <f t="shared" si="172"/>
        <v>0</v>
      </c>
      <c r="P446" s="8">
        <f t="shared" si="173"/>
        <v>0</v>
      </c>
      <c r="Q446" s="8">
        <f t="shared" si="174"/>
        <v>0</v>
      </c>
    </row>
    <row r="447" spans="1:17">
      <c r="A447" s="11"/>
      <c r="B447" s="8" t="s">
        <v>223</v>
      </c>
      <c r="C447" s="8" t="s">
        <v>35</v>
      </c>
      <c r="D447" s="8">
        <f t="shared" ref="D447:M447" si="176">SUM(D437:D443)</f>
        <v>0</v>
      </c>
      <c r="E447" s="8">
        <f t="shared" si="176"/>
        <v>1.969639948317</v>
      </c>
      <c r="F447" s="8">
        <f t="shared" si="176"/>
        <v>0</v>
      </c>
      <c r="G447" s="8">
        <f t="shared" si="176"/>
        <v>0</v>
      </c>
      <c r="H447" s="8">
        <f t="shared" si="176"/>
        <v>0</v>
      </c>
      <c r="I447" s="8">
        <f t="shared" si="176"/>
        <v>0</v>
      </c>
      <c r="J447" s="8">
        <f t="shared" si="176"/>
        <v>69.8988218268668</v>
      </c>
      <c r="K447" s="8">
        <f t="shared" si="176"/>
        <v>0</v>
      </c>
      <c r="L447" s="8">
        <f t="shared" si="176"/>
        <v>10.8033351995192</v>
      </c>
      <c r="M447" s="8">
        <f t="shared" si="176"/>
        <v>3.65647637848012</v>
      </c>
      <c r="N447" s="8">
        <f t="shared" si="171"/>
        <v>0.3939279896634</v>
      </c>
      <c r="O447" s="8">
        <f t="shared" si="172"/>
        <v>16.8717266809732</v>
      </c>
      <c r="P447" s="8">
        <f t="shared" si="173"/>
        <v>0.479156033488322</v>
      </c>
      <c r="Q447" s="8">
        <f t="shared" si="174"/>
        <v>4.15960712231296</v>
      </c>
    </row>
    <row r="448" spans="1:1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8"/>
      <c r="O448" s="8"/>
      <c r="P448" s="11"/>
      <c r="Q448" s="11"/>
    </row>
    <row r="449" spans="1:17">
      <c r="A449" s="11"/>
      <c r="B449" s="8" t="s">
        <v>223</v>
      </c>
      <c r="C449" s="8" t="s">
        <v>37</v>
      </c>
      <c r="D449" s="8">
        <f t="shared" ref="D449:M449" si="177">LOG(D445+1,2)</f>
        <v>3.24267207171012</v>
      </c>
      <c r="E449" s="8">
        <f t="shared" si="177"/>
        <v>0</v>
      </c>
      <c r="F449" s="8">
        <f t="shared" si="177"/>
        <v>2.23100477633691</v>
      </c>
      <c r="G449" s="8">
        <f t="shared" si="177"/>
        <v>2.80089790704664</v>
      </c>
      <c r="H449" s="8">
        <f t="shared" si="177"/>
        <v>1.12815154663475</v>
      </c>
      <c r="I449" s="8">
        <f t="shared" si="177"/>
        <v>1.32956836871457</v>
      </c>
      <c r="J449" s="8">
        <f t="shared" si="177"/>
        <v>1.3852056153457</v>
      </c>
      <c r="K449" s="8">
        <f t="shared" si="177"/>
        <v>0</v>
      </c>
      <c r="L449" s="8">
        <f t="shared" si="177"/>
        <v>0</v>
      </c>
      <c r="M449" s="15">
        <f t="shared" si="177"/>
        <v>0</v>
      </c>
      <c r="N449" s="8"/>
      <c r="O449" s="8"/>
      <c r="P449" s="11"/>
      <c r="Q449" s="11"/>
    </row>
    <row r="450" spans="1:17">
      <c r="A450" s="11"/>
      <c r="B450" s="8" t="s">
        <v>223</v>
      </c>
      <c r="C450" s="8" t="s">
        <v>36</v>
      </c>
      <c r="D450" s="8">
        <f t="shared" ref="D450:M450" si="178">LOG(D446+1,2)</f>
        <v>0</v>
      </c>
      <c r="E450" s="8">
        <f t="shared" si="178"/>
        <v>0</v>
      </c>
      <c r="F450" s="8">
        <f t="shared" si="178"/>
        <v>0</v>
      </c>
      <c r="G450" s="8">
        <f t="shared" si="178"/>
        <v>0</v>
      </c>
      <c r="H450" s="8">
        <f t="shared" si="178"/>
        <v>0</v>
      </c>
      <c r="I450" s="8">
        <f t="shared" si="178"/>
        <v>0</v>
      </c>
      <c r="J450" s="8">
        <f t="shared" si="178"/>
        <v>0</v>
      </c>
      <c r="K450" s="8">
        <f t="shared" si="178"/>
        <v>0</v>
      </c>
      <c r="L450" s="8">
        <f t="shared" si="178"/>
        <v>0</v>
      </c>
      <c r="M450" s="15">
        <f t="shared" si="178"/>
        <v>0</v>
      </c>
      <c r="N450" s="8"/>
      <c r="O450" s="8"/>
      <c r="P450" s="11"/>
      <c r="Q450" s="11"/>
    </row>
    <row r="451" spans="1:17">
      <c r="A451" s="11"/>
      <c r="B451" s="8" t="s">
        <v>223</v>
      </c>
      <c r="C451" s="8" t="s">
        <v>35</v>
      </c>
      <c r="D451" s="8">
        <f t="shared" ref="D451:M451" si="179">LOG(D447+1,2)</f>
        <v>0</v>
      </c>
      <c r="E451" s="8">
        <f t="shared" si="179"/>
        <v>1.57028802319234</v>
      </c>
      <c r="F451" s="8">
        <f t="shared" si="179"/>
        <v>0</v>
      </c>
      <c r="G451" s="8">
        <f t="shared" si="179"/>
        <v>0</v>
      </c>
      <c r="H451" s="8">
        <f t="shared" si="179"/>
        <v>0</v>
      </c>
      <c r="I451" s="8">
        <f t="shared" si="179"/>
        <v>0</v>
      </c>
      <c r="J451" s="8">
        <f t="shared" si="179"/>
        <v>6.14768974832311</v>
      </c>
      <c r="K451" s="8">
        <f t="shared" si="179"/>
        <v>0</v>
      </c>
      <c r="L451" s="8">
        <f t="shared" si="179"/>
        <v>3.56112266599474</v>
      </c>
      <c r="M451" s="15">
        <f t="shared" si="179"/>
        <v>2.21923865998896</v>
      </c>
      <c r="N451" s="8"/>
      <c r="O451" s="8"/>
      <c r="P451" s="11"/>
      <c r="Q451" s="11"/>
    </row>
    <row r="452" spans="1:1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>
      <c r="A455" s="19" t="s">
        <v>224</v>
      </c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1"/>
      <c r="O455" s="11"/>
      <c r="P455" s="11"/>
      <c r="Q455" s="11"/>
    </row>
    <row r="456" spans="1:17">
      <c r="A456" s="8" t="s">
        <v>225</v>
      </c>
      <c r="B456" s="8" t="s">
        <v>188</v>
      </c>
      <c r="C456" s="8" t="s">
        <v>189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11"/>
      <c r="O456" s="11"/>
      <c r="P456" s="11"/>
      <c r="Q456" s="11"/>
    </row>
    <row r="457" spans="1:17">
      <c r="A457" s="8" t="s">
        <v>225</v>
      </c>
      <c r="B457" s="8" t="s">
        <v>190</v>
      </c>
      <c r="C457" s="8" t="s">
        <v>191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11"/>
      <c r="O457" s="11"/>
      <c r="P457" s="11"/>
      <c r="Q457" s="11"/>
    </row>
    <row r="458" spans="1:17">
      <c r="A458" s="8" t="s">
        <v>225</v>
      </c>
      <c r="B458" s="8" t="s">
        <v>192</v>
      </c>
      <c r="C458" s="8" t="s">
        <v>193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11"/>
      <c r="O458" s="11"/>
      <c r="P458" s="11"/>
      <c r="Q458" s="11"/>
    </row>
    <row r="459" spans="1:17">
      <c r="A459" s="8" t="s">
        <v>225</v>
      </c>
      <c r="B459" s="8" t="s">
        <v>192</v>
      </c>
      <c r="C459" s="8" t="s">
        <v>194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11"/>
      <c r="O459" s="11"/>
      <c r="P459" s="11"/>
      <c r="Q459" s="11"/>
    </row>
    <row r="460" spans="1:17">
      <c r="A460" s="8" t="s">
        <v>225</v>
      </c>
      <c r="B460" s="8" t="s">
        <v>195</v>
      </c>
      <c r="C460" s="8" t="s">
        <v>196</v>
      </c>
      <c r="D460" s="8">
        <v>0</v>
      </c>
      <c r="E460" s="8">
        <v>3.00510164051044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11"/>
      <c r="O460" s="11"/>
      <c r="P460" s="11"/>
      <c r="Q460" s="11"/>
    </row>
    <row r="461" spans="1:17">
      <c r="A461" s="8" t="s">
        <v>225</v>
      </c>
      <c r="B461" s="8" t="s">
        <v>195</v>
      </c>
      <c r="C461" s="8" t="s">
        <v>197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0.71567635462824</v>
      </c>
      <c r="M461" s="8">
        <v>0</v>
      </c>
      <c r="N461" s="11"/>
      <c r="O461" s="11"/>
      <c r="P461" s="11"/>
      <c r="Q461" s="11"/>
    </row>
    <row r="462" spans="1:17">
      <c r="A462" s="8" t="s">
        <v>225</v>
      </c>
      <c r="B462" s="8" t="s">
        <v>198</v>
      </c>
      <c r="C462" s="8" t="s">
        <v>199</v>
      </c>
      <c r="D462" s="8">
        <v>0</v>
      </c>
      <c r="E462" s="8">
        <v>2.49079879484974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1.92777542215159</v>
      </c>
      <c r="M462" s="8">
        <v>47.1259964548968</v>
      </c>
      <c r="N462" s="11"/>
      <c r="O462" s="11"/>
      <c r="P462" s="11"/>
      <c r="Q462" s="11"/>
    </row>
    <row r="463" spans="1:17">
      <c r="A463" s="8" t="s">
        <v>225</v>
      </c>
      <c r="B463" s="8" t="s">
        <v>36</v>
      </c>
      <c r="C463" s="8" t="s">
        <v>130</v>
      </c>
      <c r="D463" s="8">
        <v>0</v>
      </c>
      <c r="E463" s="8">
        <v>0</v>
      </c>
      <c r="F463" s="8">
        <v>2.88811560859875</v>
      </c>
      <c r="G463" s="8">
        <v>0</v>
      </c>
      <c r="H463" s="8">
        <v>0</v>
      </c>
      <c r="I463" s="8">
        <v>0</v>
      </c>
      <c r="J463" s="8">
        <v>5.4697196508569</v>
      </c>
      <c r="K463" s="8">
        <v>0</v>
      </c>
      <c r="L463" s="8">
        <v>0</v>
      </c>
      <c r="M463" s="8">
        <v>13.7181</v>
      </c>
      <c r="N463" s="11"/>
      <c r="O463" s="11"/>
      <c r="P463" s="11"/>
      <c r="Q463" s="11"/>
    </row>
    <row r="464" spans="1:17">
      <c r="A464" s="8" t="s">
        <v>225</v>
      </c>
      <c r="B464" s="8" t="s">
        <v>200</v>
      </c>
      <c r="C464" s="8" t="s">
        <v>97</v>
      </c>
      <c r="D464" s="8">
        <v>0</v>
      </c>
      <c r="E464" s="8">
        <v>0</v>
      </c>
      <c r="F464" s="8">
        <v>0</v>
      </c>
      <c r="G464" s="8">
        <v>2.0713212471086</v>
      </c>
      <c r="H464" s="8">
        <v>0</v>
      </c>
      <c r="I464" s="8">
        <v>0</v>
      </c>
      <c r="J464" s="8">
        <v>0</v>
      </c>
      <c r="K464" s="8">
        <v>0</v>
      </c>
      <c r="L464" s="8">
        <v>4.52580744574435</v>
      </c>
      <c r="M464" s="8">
        <v>0</v>
      </c>
      <c r="N464" s="11"/>
      <c r="O464" s="11"/>
      <c r="P464" s="11"/>
      <c r="Q464" s="11"/>
    </row>
    <row r="465" spans="1:17">
      <c r="A465" s="8" t="s">
        <v>225</v>
      </c>
      <c r="B465" s="8" t="s">
        <v>200</v>
      </c>
      <c r="C465" s="8" t="s">
        <v>98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1.43792123310962</v>
      </c>
      <c r="K465" s="8">
        <v>6.67181426327924</v>
      </c>
      <c r="L465" s="8">
        <v>2.76144332050249</v>
      </c>
      <c r="M465" s="8">
        <v>0.304247207509183</v>
      </c>
      <c r="N465" s="11"/>
      <c r="O465" s="11"/>
      <c r="P465" s="11"/>
      <c r="Q465" s="11"/>
    </row>
    <row r="466" spans="1:17">
      <c r="A466" s="8" t="s">
        <v>225</v>
      </c>
      <c r="B466" s="8" t="s">
        <v>200</v>
      </c>
      <c r="C466" s="8" t="s">
        <v>95</v>
      </c>
      <c r="D466" s="8">
        <v>0</v>
      </c>
      <c r="E466" s="8">
        <v>0</v>
      </c>
      <c r="F466" s="8">
        <v>0</v>
      </c>
      <c r="G466" s="8">
        <v>0.21606692916149</v>
      </c>
      <c r="H466" s="8">
        <v>0</v>
      </c>
      <c r="I466" s="8">
        <v>0</v>
      </c>
      <c r="J466" s="8">
        <v>0</v>
      </c>
      <c r="K466" s="8">
        <v>0</v>
      </c>
      <c r="L466" s="8">
        <v>5.18971921302413</v>
      </c>
      <c r="M466" s="8">
        <v>0</v>
      </c>
      <c r="N466" s="11"/>
      <c r="O466" s="11"/>
      <c r="P466" s="11"/>
      <c r="Q466" s="11"/>
    </row>
    <row r="467" spans="1:17">
      <c r="A467" s="8" t="s">
        <v>225</v>
      </c>
      <c r="B467" s="8" t="s">
        <v>200</v>
      </c>
      <c r="C467" s="8" t="s">
        <v>93</v>
      </c>
      <c r="D467" s="8">
        <v>0</v>
      </c>
      <c r="E467" s="8">
        <v>0</v>
      </c>
      <c r="F467" s="8">
        <v>0</v>
      </c>
      <c r="G467" s="8">
        <v>2.0067106875603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11"/>
      <c r="O467" s="11"/>
      <c r="P467" s="11"/>
      <c r="Q467" s="11"/>
    </row>
    <row r="468" spans="1:17">
      <c r="A468" s="8" t="s">
        <v>225</v>
      </c>
      <c r="B468" s="8" t="s">
        <v>200</v>
      </c>
      <c r="C468" s="8" t="s">
        <v>96</v>
      </c>
      <c r="D468" s="8">
        <v>0</v>
      </c>
      <c r="E468" s="8">
        <v>3.58407148130897</v>
      </c>
      <c r="F468" s="8">
        <v>4.67869307802892</v>
      </c>
      <c r="G468" s="8">
        <v>10.6987390974496</v>
      </c>
      <c r="H468" s="8">
        <v>0</v>
      </c>
      <c r="I468" s="8">
        <v>1.14176205578717</v>
      </c>
      <c r="J468" s="8">
        <v>2.87791645953971</v>
      </c>
      <c r="K468" s="8">
        <v>0</v>
      </c>
      <c r="L468" s="8">
        <v>1.36504459660005</v>
      </c>
      <c r="M468" s="8">
        <v>4.99634420465646</v>
      </c>
      <c r="N468" s="11"/>
      <c r="O468" s="11"/>
      <c r="P468" s="11"/>
      <c r="Q468" s="11"/>
    </row>
    <row r="469" spans="1:17">
      <c r="A469" s="8" t="s">
        <v>225</v>
      </c>
      <c r="B469" s="8" t="s">
        <v>200</v>
      </c>
      <c r="C469" s="8" t="s">
        <v>94</v>
      </c>
      <c r="D469" s="8">
        <v>0</v>
      </c>
      <c r="E469" s="8">
        <v>0</v>
      </c>
      <c r="F469" s="8">
        <v>0</v>
      </c>
      <c r="G469" s="8">
        <v>5.60312975547043</v>
      </c>
      <c r="H469" s="8">
        <v>0</v>
      </c>
      <c r="I469" s="8">
        <v>0</v>
      </c>
      <c r="J469" s="8">
        <v>0</v>
      </c>
      <c r="K469" s="8">
        <v>2.51807187581225</v>
      </c>
      <c r="L469" s="8">
        <v>0.350043739969202</v>
      </c>
      <c r="M469" s="8">
        <v>0</v>
      </c>
      <c r="N469" s="11"/>
      <c r="O469" s="11"/>
      <c r="P469" s="11"/>
      <c r="Q469" s="11"/>
    </row>
    <row r="470" spans="1:17">
      <c r="A470" s="8" t="s">
        <v>225</v>
      </c>
      <c r="B470" s="8" t="s">
        <v>201</v>
      </c>
      <c r="C470" s="8" t="s">
        <v>202</v>
      </c>
      <c r="D470" s="8">
        <v>0</v>
      </c>
      <c r="E470" s="8">
        <v>2.94357858166834</v>
      </c>
      <c r="F470" s="8">
        <v>0</v>
      </c>
      <c r="G470" s="8">
        <v>21.7658782215853</v>
      </c>
      <c r="H470" s="8">
        <v>0</v>
      </c>
      <c r="I470" s="8">
        <v>0</v>
      </c>
      <c r="J470" s="8">
        <v>28.24820777393</v>
      </c>
      <c r="K470" s="8">
        <v>0</v>
      </c>
      <c r="L470" s="8">
        <v>6.46214186152052</v>
      </c>
      <c r="M470" s="8">
        <v>68.3177384767882</v>
      </c>
      <c r="N470" s="11"/>
      <c r="O470" s="11"/>
      <c r="P470" s="11"/>
      <c r="Q470" s="11"/>
    </row>
    <row r="471" spans="1:17">
      <c r="A471" s="11"/>
      <c r="B471" s="11"/>
      <c r="C471" s="11"/>
      <c r="D471" s="2" t="s">
        <v>185</v>
      </c>
      <c r="E471" s="3"/>
      <c r="F471" s="3"/>
      <c r="G471" s="3"/>
      <c r="H471" s="4"/>
      <c r="I471" s="5" t="s">
        <v>186</v>
      </c>
      <c r="J471" s="6"/>
      <c r="K471" s="6"/>
      <c r="L471" s="6"/>
      <c r="M471" s="7"/>
      <c r="N471" s="8" t="s">
        <v>203</v>
      </c>
      <c r="O471" s="8" t="s">
        <v>203</v>
      </c>
      <c r="P471" s="8" t="s">
        <v>248</v>
      </c>
      <c r="Q471" s="8" t="s">
        <v>248</v>
      </c>
    </row>
    <row r="472" spans="1:17">
      <c r="A472" s="11"/>
      <c r="B472" s="8" t="s">
        <v>225</v>
      </c>
      <c r="C472" s="8" t="s">
        <v>37</v>
      </c>
      <c r="D472" s="8">
        <f t="shared" ref="D472:M472" si="180">SUM(D456:D462)</f>
        <v>0</v>
      </c>
      <c r="E472" s="8">
        <f t="shared" si="180"/>
        <v>5.49590043536018</v>
      </c>
      <c r="F472" s="8">
        <f t="shared" si="180"/>
        <v>0</v>
      </c>
      <c r="G472" s="8">
        <f t="shared" si="180"/>
        <v>0</v>
      </c>
      <c r="H472" s="8">
        <f t="shared" si="180"/>
        <v>0</v>
      </c>
      <c r="I472" s="8">
        <f t="shared" si="180"/>
        <v>0</v>
      </c>
      <c r="J472" s="8">
        <f t="shared" si="180"/>
        <v>0</v>
      </c>
      <c r="K472" s="8">
        <f t="shared" si="180"/>
        <v>0</v>
      </c>
      <c r="L472" s="8">
        <f t="shared" si="180"/>
        <v>2.64345177677983</v>
      </c>
      <c r="M472" s="8">
        <f t="shared" si="180"/>
        <v>47.1259964548968</v>
      </c>
      <c r="N472" s="8">
        <f t="shared" ref="N472:N474" si="181">AVERAGE(D472:H472)</f>
        <v>1.09918008707204</v>
      </c>
      <c r="O472" s="8">
        <f t="shared" ref="O472:O474" si="182">AVERAGE(I472:M472)</f>
        <v>9.95388964633532</v>
      </c>
      <c r="P472" s="8">
        <f t="shared" ref="P472:P474" si="183">LOG(N472+1,2)</f>
        <v>1.06982593965577</v>
      </c>
      <c r="Q472" s="8">
        <f t="shared" ref="Q472:Q474" si="184">LOG(O472+1,2)</f>
        <v>3.45337134617924</v>
      </c>
    </row>
    <row r="473" spans="1:17">
      <c r="A473" s="11"/>
      <c r="B473" s="8" t="s">
        <v>225</v>
      </c>
      <c r="C473" s="8" t="s">
        <v>36</v>
      </c>
      <c r="D473" s="8">
        <f t="shared" ref="D473:M473" si="185">D463</f>
        <v>0</v>
      </c>
      <c r="E473" s="8">
        <f t="shared" si="185"/>
        <v>0</v>
      </c>
      <c r="F473" s="8">
        <f t="shared" si="185"/>
        <v>2.88811560859875</v>
      </c>
      <c r="G473" s="8">
        <f t="shared" si="185"/>
        <v>0</v>
      </c>
      <c r="H473" s="8">
        <f t="shared" si="185"/>
        <v>0</v>
      </c>
      <c r="I473" s="8">
        <f t="shared" si="185"/>
        <v>0</v>
      </c>
      <c r="J473" s="8">
        <f t="shared" si="185"/>
        <v>5.4697196508569</v>
      </c>
      <c r="K473" s="8">
        <f t="shared" si="185"/>
        <v>0</v>
      </c>
      <c r="L473" s="8">
        <f t="shared" si="185"/>
        <v>0</v>
      </c>
      <c r="M473" s="8">
        <f t="shared" si="185"/>
        <v>13.7181</v>
      </c>
      <c r="N473" s="8">
        <f t="shared" si="181"/>
        <v>0.57762312171975</v>
      </c>
      <c r="O473" s="8">
        <f t="shared" si="182"/>
        <v>3.83756393017138</v>
      </c>
      <c r="P473" s="8">
        <f t="shared" si="183"/>
        <v>0.657752601190768</v>
      </c>
      <c r="Q473" s="8">
        <f t="shared" si="184"/>
        <v>2.27428072712408</v>
      </c>
    </row>
    <row r="474" spans="1:17">
      <c r="A474" s="11"/>
      <c r="B474" s="8" t="s">
        <v>225</v>
      </c>
      <c r="C474" s="8" t="s">
        <v>35</v>
      </c>
      <c r="D474" s="8">
        <f t="shared" ref="D474:M474" si="186">SUM(D464:D470)</f>
        <v>0</v>
      </c>
      <c r="E474" s="8">
        <f t="shared" si="186"/>
        <v>6.52765006297731</v>
      </c>
      <c r="F474" s="8">
        <f t="shared" si="186"/>
        <v>4.67869307802892</v>
      </c>
      <c r="G474" s="8">
        <f t="shared" si="186"/>
        <v>42.3618459383357</v>
      </c>
      <c r="H474" s="8">
        <f t="shared" si="186"/>
        <v>0</v>
      </c>
      <c r="I474" s="8">
        <f t="shared" si="186"/>
        <v>1.14176205578717</v>
      </c>
      <c r="J474" s="8">
        <f t="shared" si="186"/>
        <v>32.5640454665793</v>
      </c>
      <c r="K474" s="8">
        <f t="shared" si="186"/>
        <v>9.18988613909149</v>
      </c>
      <c r="L474" s="8">
        <f t="shared" si="186"/>
        <v>20.6542001773607</v>
      </c>
      <c r="M474" s="8">
        <f t="shared" si="186"/>
        <v>73.6183298889539</v>
      </c>
      <c r="N474" s="8">
        <f t="shared" si="181"/>
        <v>10.7136378158684</v>
      </c>
      <c r="O474" s="8">
        <f t="shared" si="182"/>
        <v>27.4336447455545</v>
      </c>
      <c r="P474" s="8">
        <f t="shared" si="183"/>
        <v>3.55011728719725</v>
      </c>
      <c r="Q474" s="8">
        <f t="shared" si="184"/>
        <v>4.82952713654472</v>
      </c>
    </row>
    <row r="475" spans="1:1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8"/>
      <c r="O475" s="8"/>
      <c r="P475" s="11"/>
      <c r="Q475" s="11"/>
    </row>
    <row r="476" spans="1:17">
      <c r="A476" s="11"/>
      <c r="B476" s="8" t="s">
        <v>225</v>
      </c>
      <c r="C476" s="8" t="s">
        <v>37</v>
      </c>
      <c r="D476" s="8">
        <f t="shared" ref="D476:M476" si="187">LOG(D472+1,2)</f>
        <v>0</v>
      </c>
      <c r="E476" s="8">
        <f t="shared" si="187"/>
        <v>2.69952952006728</v>
      </c>
      <c r="F476" s="8">
        <f t="shared" si="187"/>
        <v>0</v>
      </c>
      <c r="G476" s="8">
        <f t="shared" si="187"/>
        <v>0</v>
      </c>
      <c r="H476" s="8">
        <f t="shared" si="187"/>
        <v>0</v>
      </c>
      <c r="I476" s="8">
        <f t="shared" si="187"/>
        <v>0</v>
      </c>
      <c r="J476" s="8">
        <f t="shared" si="187"/>
        <v>0</v>
      </c>
      <c r="K476" s="8">
        <f t="shared" si="187"/>
        <v>0</v>
      </c>
      <c r="L476" s="8">
        <f t="shared" si="187"/>
        <v>1.86530589590668</v>
      </c>
      <c r="M476" s="15">
        <f t="shared" si="187"/>
        <v>5.5887445070764</v>
      </c>
      <c r="N476" s="8"/>
      <c r="O476" s="8"/>
      <c r="P476" s="11"/>
      <c r="Q476" s="11"/>
    </row>
    <row r="477" spans="1:17">
      <c r="A477" s="11"/>
      <c r="B477" s="8" t="s">
        <v>225</v>
      </c>
      <c r="C477" s="8" t="s">
        <v>36</v>
      </c>
      <c r="D477" s="8">
        <f t="shared" ref="D477:M477" si="188">LOG(D473+1,2)</f>
        <v>0</v>
      </c>
      <c r="E477" s="8">
        <f t="shared" si="188"/>
        <v>0</v>
      </c>
      <c r="F477" s="8">
        <f t="shared" si="188"/>
        <v>1.95907111644175</v>
      </c>
      <c r="G477" s="8">
        <f t="shared" si="188"/>
        <v>0</v>
      </c>
      <c r="H477" s="8">
        <f t="shared" si="188"/>
        <v>0</v>
      </c>
      <c r="I477" s="8">
        <f t="shared" si="188"/>
        <v>0</v>
      </c>
      <c r="J477" s="8">
        <f t="shared" si="188"/>
        <v>2.69370319798572</v>
      </c>
      <c r="K477" s="8">
        <f t="shared" si="188"/>
        <v>0</v>
      </c>
      <c r="L477" s="8">
        <f t="shared" si="188"/>
        <v>0</v>
      </c>
      <c r="M477" s="15">
        <f t="shared" si="188"/>
        <v>3.8795195368326</v>
      </c>
      <c r="N477" s="8"/>
      <c r="O477" s="8"/>
      <c r="P477" s="11"/>
      <c r="Q477" s="11"/>
    </row>
    <row r="478" spans="1:17">
      <c r="A478" s="11"/>
      <c r="B478" s="8" t="s">
        <v>225</v>
      </c>
      <c r="C478" s="8" t="s">
        <v>35</v>
      </c>
      <c r="D478" s="8">
        <f t="shared" ref="D478:M478" si="189">LOG(D474+1,2)</f>
        <v>0</v>
      </c>
      <c r="E478" s="8">
        <f t="shared" si="189"/>
        <v>2.91219956322299</v>
      </c>
      <c r="F478" s="8">
        <f t="shared" si="189"/>
        <v>2.50555893909655</v>
      </c>
      <c r="G478" s="8">
        <f t="shared" si="189"/>
        <v>5.43835426923128</v>
      </c>
      <c r="H478" s="8">
        <f t="shared" si="189"/>
        <v>0</v>
      </c>
      <c r="I478" s="8">
        <f t="shared" si="189"/>
        <v>1.09879820931134</v>
      </c>
      <c r="J478" s="8">
        <f t="shared" si="189"/>
        <v>5.06884470884238</v>
      </c>
      <c r="K478" s="8">
        <f t="shared" si="189"/>
        <v>3.34906602593125</v>
      </c>
      <c r="L478" s="8">
        <f t="shared" si="189"/>
        <v>4.43657498068627</v>
      </c>
      <c r="M478" s="15">
        <f t="shared" si="189"/>
        <v>6.22145816493367</v>
      </c>
      <c r="N478" s="8"/>
      <c r="O478" s="8"/>
      <c r="P478" s="11"/>
      <c r="Q478" s="11"/>
    </row>
    <row r="479" spans="1:1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>
      <c r="A481" s="8" t="s">
        <v>226</v>
      </c>
      <c r="B481" s="8" t="s">
        <v>188</v>
      </c>
      <c r="C481" s="8" t="s">
        <v>189</v>
      </c>
      <c r="D481" s="8">
        <v>0</v>
      </c>
      <c r="E481" s="8">
        <v>0</v>
      </c>
      <c r="F481" s="8">
        <v>0</v>
      </c>
      <c r="G481" s="8">
        <v>2.29921084490275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11"/>
      <c r="O481" s="11"/>
      <c r="P481" s="11"/>
      <c r="Q481" s="11"/>
    </row>
    <row r="482" spans="1:17">
      <c r="A482" s="8" t="s">
        <v>226</v>
      </c>
      <c r="B482" s="8" t="s">
        <v>190</v>
      </c>
      <c r="C482" s="8" t="s">
        <v>191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2.04842469799384</v>
      </c>
      <c r="N482" s="11"/>
      <c r="O482" s="11"/>
      <c r="P482" s="11"/>
      <c r="Q482" s="11"/>
    </row>
    <row r="483" spans="1:17">
      <c r="A483" s="8" t="s">
        <v>226</v>
      </c>
      <c r="B483" s="8" t="s">
        <v>192</v>
      </c>
      <c r="C483" s="8" t="s">
        <v>193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11"/>
      <c r="O483" s="11"/>
      <c r="P483" s="11"/>
      <c r="Q483" s="11"/>
    </row>
    <row r="484" spans="1:17">
      <c r="A484" s="8" t="s">
        <v>226</v>
      </c>
      <c r="B484" s="8" t="s">
        <v>192</v>
      </c>
      <c r="C484" s="8" t="s">
        <v>194</v>
      </c>
      <c r="D484" s="8">
        <v>0</v>
      </c>
      <c r="E484" s="8">
        <v>14.5315248933026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7.16100243619356</v>
      </c>
      <c r="M484" s="8">
        <v>0</v>
      </c>
      <c r="N484" s="11"/>
      <c r="O484" s="11"/>
      <c r="P484" s="11"/>
      <c r="Q484" s="11"/>
    </row>
    <row r="485" spans="1:17">
      <c r="A485" s="8" t="s">
        <v>226</v>
      </c>
      <c r="B485" s="8" t="s">
        <v>195</v>
      </c>
      <c r="C485" s="8" t="s">
        <v>196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11"/>
      <c r="O485" s="11"/>
      <c r="P485" s="11"/>
      <c r="Q485" s="11"/>
    </row>
    <row r="486" spans="1:17">
      <c r="A486" s="8" t="s">
        <v>226</v>
      </c>
      <c r="B486" s="8" t="s">
        <v>195</v>
      </c>
      <c r="C486" s="8" t="s">
        <v>197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11"/>
      <c r="O486" s="11"/>
      <c r="P486" s="11"/>
      <c r="Q486" s="11"/>
    </row>
    <row r="487" spans="1:17">
      <c r="A487" s="8" t="s">
        <v>226</v>
      </c>
      <c r="B487" s="8" t="s">
        <v>198</v>
      </c>
      <c r="C487" s="8" t="s">
        <v>199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11"/>
      <c r="O487" s="11"/>
      <c r="P487" s="11"/>
      <c r="Q487" s="11"/>
    </row>
    <row r="488" spans="1:17">
      <c r="A488" s="8" t="s">
        <v>226</v>
      </c>
      <c r="B488" s="8" t="s">
        <v>36</v>
      </c>
      <c r="C488" s="8" t="s">
        <v>130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11"/>
      <c r="O488" s="11"/>
      <c r="P488" s="11"/>
      <c r="Q488" s="11"/>
    </row>
    <row r="489" spans="1:17">
      <c r="A489" s="8" t="s">
        <v>226</v>
      </c>
      <c r="B489" s="8" t="s">
        <v>200</v>
      </c>
      <c r="C489" s="8" t="s">
        <v>97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11"/>
      <c r="O489" s="11"/>
      <c r="P489" s="11"/>
      <c r="Q489" s="11"/>
    </row>
    <row r="490" spans="1:17">
      <c r="A490" s="8" t="s">
        <v>226</v>
      </c>
      <c r="B490" s="8" t="s">
        <v>200</v>
      </c>
      <c r="C490" s="8" t="s">
        <v>98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5.14469786054822</v>
      </c>
      <c r="M490" s="8">
        <v>0</v>
      </c>
      <c r="N490" s="11"/>
      <c r="O490" s="11"/>
      <c r="P490" s="11"/>
      <c r="Q490" s="11"/>
    </row>
    <row r="491" spans="1:17">
      <c r="A491" s="8" t="s">
        <v>226</v>
      </c>
      <c r="B491" s="8" t="s">
        <v>200</v>
      </c>
      <c r="C491" s="8" t="s">
        <v>95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11"/>
      <c r="O491" s="11"/>
      <c r="P491" s="11"/>
      <c r="Q491" s="11"/>
    </row>
    <row r="492" spans="1:17">
      <c r="A492" s="8" t="s">
        <v>226</v>
      </c>
      <c r="B492" s="8" t="s">
        <v>200</v>
      </c>
      <c r="C492" s="8" t="s">
        <v>93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11"/>
      <c r="O492" s="11"/>
      <c r="P492" s="11"/>
      <c r="Q492" s="11"/>
    </row>
    <row r="493" spans="1:17">
      <c r="A493" s="8" t="s">
        <v>226</v>
      </c>
      <c r="B493" s="8" t="s">
        <v>200</v>
      </c>
      <c r="C493" s="8" t="s">
        <v>96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11"/>
      <c r="O493" s="11"/>
      <c r="P493" s="11"/>
      <c r="Q493" s="11"/>
    </row>
    <row r="494" spans="1:17">
      <c r="A494" s="8" t="s">
        <v>226</v>
      </c>
      <c r="B494" s="8" t="s">
        <v>200</v>
      </c>
      <c r="C494" s="8" t="s">
        <v>94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11"/>
      <c r="O494" s="11"/>
      <c r="P494" s="11"/>
      <c r="Q494" s="11"/>
    </row>
    <row r="495" spans="1:17">
      <c r="A495" s="8" t="s">
        <v>226</v>
      </c>
      <c r="B495" s="8" t="s">
        <v>201</v>
      </c>
      <c r="C495" s="8" t="s">
        <v>202</v>
      </c>
      <c r="D495" s="8">
        <v>0</v>
      </c>
      <c r="E495" s="8">
        <v>0</v>
      </c>
      <c r="F495" s="8">
        <v>0</v>
      </c>
      <c r="G495" s="8">
        <v>2.03774780101664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23.6486162333034</v>
      </c>
      <c r="N495" s="11"/>
      <c r="O495" s="11"/>
      <c r="P495" s="11"/>
      <c r="Q495" s="11"/>
    </row>
    <row r="496" spans="1:17">
      <c r="A496" s="11"/>
      <c r="B496" s="11"/>
      <c r="C496" s="11"/>
      <c r="D496" s="2" t="s">
        <v>185</v>
      </c>
      <c r="E496" s="3"/>
      <c r="F496" s="3"/>
      <c r="G496" s="3"/>
      <c r="H496" s="4"/>
      <c r="I496" s="5" t="s">
        <v>186</v>
      </c>
      <c r="J496" s="6"/>
      <c r="K496" s="6"/>
      <c r="L496" s="6"/>
      <c r="M496" s="7"/>
      <c r="N496" s="8" t="s">
        <v>203</v>
      </c>
      <c r="O496" s="8" t="s">
        <v>203</v>
      </c>
      <c r="P496" s="8" t="s">
        <v>248</v>
      </c>
      <c r="Q496" s="8" t="s">
        <v>248</v>
      </c>
    </row>
    <row r="497" spans="1:17">
      <c r="A497" s="11"/>
      <c r="B497" s="8" t="s">
        <v>226</v>
      </c>
      <c r="C497" s="8" t="s">
        <v>37</v>
      </c>
      <c r="D497" s="8">
        <f t="shared" ref="D497:M497" si="190">SUM(D481:D487)</f>
        <v>0</v>
      </c>
      <c r="E497" s="8">
        <f t="shared" si="190"/>
        <v>14.5315248933026</v>
      </c>
      <c r="F497" s="8">
        <f t="shared" si="190"/>
        <v>0</v>
      </c>
      <c r="G497" s="8">
        <f t="shared" si="190"/>
        <v>2.29921084490275</v>
      </c>
      <c r="H497" s="8">
        <f t="shared" si="190"/>
        <v>0</v>
      </c>
      <c r="I497" s="8">
        <f t="shared" si="190"/>
        <v>0</v>
      </c>
      <c r="J497" s="8">
        <f t="shared" si="190"/>
        <v>0</v>
      </c>
      <c r="K497" s="8">
        <f t="shared" si="190"/>
        <v>0</v>
      </c>
      <c r="L497" s="8">
        <f t="shared" si="190"/>
        <v>7.16100243619356</v>
      </c>
      <c r="M497" s="8">
        <f t="shared" si="190"/>
        <v>2.04842469799384</v>
      </c>
      <c r="N497" s="8">
        <f t="shared" ref="N497:N499" si="191">AVERAGE(D497:H497)</f>
        <v>3.36614714764107</v>
      </c>
      <c r="O497" s="8">
        <f t="shared" ref="O497:O499" si="192">AVERAGE(I497:M497)</f>
        <v>1.84188542683748</v>
      </c>
      <c r="P497" s="8">
        <f t="shared" ref="P497:P499" si="193">LOG(N497+1,2)</f>
        <v>2.12636075277367</v>
      </c>
      <c r="Q497" s="8">
        <f t="shared" ref="Q497:Q499" si="194">LOG(O497+1,2)</f>
        <v>1.50684839220725</v>
      </c>
    </row>
    <row r="498" spans="1:17">
      <c r="A498" s="11"/>
      <c r="B498" s="8" t="s">
        <v>226</v>
      </c>
      <c r="C498" s="8" t="s">
        <v>36</v>
      </c>
      <c r="D498" s="8">
        <f t="shared" ref="D498:M498" si="195">D488</f>
        <v>0</v>
      </c>
      <c r="E498" s="8">
        <f t="shared" si="195"/>
        <v>0</v>
      </c>
      <c r="F498" s="8">
        <f t="shared" si="195"/>
        <v>0</v>
      </c>
      <c r="G498" s="8">
        <f t="shared" si="195"/>
        <v>0</v>
      </c>
      <c r="H498" s="8">
        <f t="shared" si="195"/>
        <v>0</v>
      </c>
      <c r="I498" s="8">
        <f t="shared" si="195"/>
        <v>0</v>
      </c>
      <c r="J498" s="8">
        <f t="shared" si="195"/>
        <v>0</v>
      </c>
      <c r="K498" s="8">
        <f t="shared" si="195"/>
        <v>0</v>
      </c>
      <c r="L498" s="8">
        <f t="shared" si="195"/>
        <v>0</v>
      </c>
      <c r="M498" s="8">
        <f t="shared" si="195"/>
        <v>0</v>
      </c>
      <c r="N498" s="8">
        <f t="shared" si="191"/>
        <v>0</v>
      </c>
      <c r="O498" s="8">
        <f t="shared" si="192"/>
        <v>0</v>
      </c>
      <c r="P498" s="8">
        <f t="shared" si="193"/>
        <v>0</v>
      </c>
      <c r="Q498" s="8">
        <f t="shared" si="194"/>
        <v>0</v>
      </c>
    </row>
    <row r="499" spans="1:17">
      <c r="A499" s="11"/>
      <c r="B499" s="8" t="s">
        <v>226</v>
      </c>
      <c r="C499" s="8" t="s">
        <v>35</v>
      </c>
      <c r="D499" s="8">
        <f t="shared" ref="D499:M499" si="196">SUM(D489:D495)</f>
        <v>0</v>
      </c>
      <c r="E499" s="8">
        <f t="shared" si="196"/>
        <v>0</v>
      </c>
      <c r="F499" s="8">
        <f t="shared" si="196"/>
        <v>0</v>
      </c>
      <c r="G499" s="8">
        <f t="shared" si="196"/>
        <v>2.03774780101664</v>
      </c>
      <c r="H499" s="8">
        <f t="shared" si="196"/>
        <v>0</v>
      </c>
      <c r="I499" s="8">
        <f t="shared" si="196"/>
        <v>0</v>
      </c>
      <c r="J499" s="8">
        <f t="shared" si="196"/>
        <v>0</v>
      </c>
      <c r="K499" s="8">
        <f t="shared" si="196"/>
        <v>0</v>
      </c>
      <c r="L499" s="8">
        <f t="shared" si="196"/>
        <v>5.14469786054822</v>
      </c>
      <c r="M499" s="8">
        <f t="shared" si="196"/>
        <v>23.6486162333034</v>
      </c>
      <c r="N499" s="8">
        <f t="shared" si="191"/>
        <v>0.407549560203328</v>
      </c>
      <c r="O499" s="8">
        <f t="shared" si="192"/>
        <v>5.75866281877032</v>
      </c>
      <c r="P499" s="8">
        <f t="shared" si="193"/>
        <v>0.4931857208851</v>
      </c>
      <c r="Q499" s="8">
        <f t="shared" si="194"/>
        <v>2.75673784183971</v>
      </c>
    </row>
    <row r="500" spans="1:1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8"/>
      <c r="O500" s="8"/>
      <c r="P500" s="11"/>
      <c r="Q500" s="11"/>
    </row>
    <row r="501" spans="1:17">
      <c r="A501" s="11"/>
      <c r="B501" s="8" t="s">
        <v>226</v>
      </c>
      <c r="C501" s="8" t="s">
        <v>37</v>
      </c>
      <c r="D501" s="8">
        <f t="shared" ref="D501:M501" si="197">LOG(D497+1,2)</f>
        <v>0</v>
      </c>
      <c r="E501" s="8">
        <f t="shared" si="197"/>
        <v>3.95712757612614</v>
      </c>
      <c r="F501" s="8">
        <f t="shared" si="197"/>
        <v>0</v>
      </c>
      <c r="G501" s="8">
        <f t="shared" si="197"/>
        <v>1.72212098013852</v>
      </c>
      <c r="H501" s="8">
        <f t="shared" si="197"/>
        <v>0</v>
      </c>
      <c r="I501" s="8">
        <f t="shared" si="197"/>
        <v>0</v>
      </c>
      <c r="J501" s="8">
        <f t="shared" si="197"/>
        <v>0</v>
      </c>
      <c r="K501" s="8">
        <f t="shared" si="197"/>
        <v>0</v>
      </c>
      <c r="L501" s="8">
        <f t="shared" si="197"/>
        <v>3.0287463728954</v>
      </c>
      <c r="M501" s="15">
        <f t="shared" si="197"/>
        <v>1.60806390906716</v>
      </c>
      <c r="N501" s="8"/>
      <c r="O501" s="8"/>
      <c r="P501" s="11"/>
      <c r="Q501" s="11"/>
    </row>
    <row r="502" spans="1:17">
      <c r="A502" s="11"/>
      <c r="B502" s="8" t="s">
        <v>226</v>
      </c>
      <c r="C502" s="8" t="s">
        <v>36</v>
      </c>
      <c r="D502" s="8">
        <f t="shared" ref="D502:M502" si="198">LOG(D498+1,2)</f>
        <v>0</v>
      </c>
      <c r="E502" s="8">
        <f t="shared" si="198"/>
        <v>0</v>
      </c>
      <c r="F502" s="8">
        <f t="shared" si="198"/>
        <v>0</v>
      </c>
      <c r="G502" s="8">
        <f t="shared" si="198"/>
        <v>0</v>
      </c>
      <c r="H502" s="8">
        <f t="shared" si="198"/>
        <v>0</v>
      </c>
      <c r="I502" s="8">
        <f t="shared" si="198"/>
        <v>0</v>
      </c>
      <c r="J502" s="8">
        <f t="shared" si="198"/>
        <v>0</v>
      </c>
      <c r="K502" s="8">
        <f t="shared" si="198"/>
        <v>0</v>
      </c>
      <c r="L502" s="8">
        <f t="shared" si="198"/>
        <v>0</v>
      </c>
      <c r="M502" s="15">
        <f t="shared" si="198"/>
        <v>0</v>
      </c>
      <c r="N502" s="8"/>
      <c r="O502" s="8"/>
      <c r="P502" s="11"/>
      <c r="Q502" s="11"/>
    </row>
    <row r="503" spans="1:17">
      <c r="A503" s="11"/>
      <c r="B503" s="8" t="s">
        <v>226</v>
      </c>
      <c r="C503" s="8" t="s">
        <v>35</v>
      </c>
      <c r="D503" s="8">
        <f t="shared" ref="D503:M503" si="199">LOG(D499+1,2)</f>
        <v>0</v>
      </c>
      <c r="E503" s="8">
        <f t="shared" si="199"/>
        <v>0</v>
      </c>
      <c r="F503" s="8">
        <f t="shared" si="199"/>
        <v>0</v>
      </c>
      <c r="G503" s="8">
        <f t="shared" si="199"/>
        <v>1.60300209981835</v>
      </c>
      <c r="H503" s="8">
        <f t="shared" si="199"/>
        <v>0</v>
      </c>
      <c r="I503" s="8">
        <f t="shared" si="199"/>
        <v>0</v>
      </c>
      <c r="J503" s="8">
        <f t="shared" si="199"/>
        <v>0</v>
      </c>
      <c r="K503" s="8">
        <f t="shared" si="199"/>
        <v>0</v>
      </c>
      <c r="L503" s="8">
        <f t="shared" si="199"/>
        <v>2.61934207393313</v>
      </c>
      <c r="M503" s="15">
        <f t="shared" si="199"/>
        <v>4.62343475125172</v>
      </c>
      <c r="N503" s="8"/>
      <c r="O503" s="8"/>
      <c r="P503" s="11"/>
      <c r="Q503" s="11"/>
    </row>
    <row r="504" spans="1:1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>
      <c r="A506" s="8" t="s">
        <v>227</v>
      </c>
      <c r="B506" s="8" t="s">
        <v>188</v>
      </c>
      <c r="C506" s="8" t="s">
        <v>189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11"/>
      <c r="O506" s="11"/>
      <c r="P506" s="11"/>
      <c r="Q506" s="11"/>
    </row>
    <row r="507" spans="1:17">
      <c r="A507" s="8" t="s">
        <v>227</v>
      </c>
      <c r="B507" s="8" t="s">
        <v>190</v>
      </c>
      <c r="C507" s="8" t="s">
        <v>191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11"/>
      <c r="O507" s="11"/>
      <c r="P507" s="11"/>
      <c r="Q507" s="11"/>
    </row>
    <row r="508" spans="1:17">
      <c r="A508" s="8" t="s">
        <v>227</v>
      </c>
      <c r="B508" s="8" t="s">
        <v>192</v>
      </c>
      <c r="C508" s="8" t="s">
        <v>193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11"/>
      <c r="O508" s="11"/>
      <c r="P508" s="11"/>
      <c r="Q508" s="11"/>
    </row>
    <row r="509" spans="1:17">
      <c r="A509" s="8" t="s">
        <v>227</v>
      </c>
      <c r="B509" s="8" t="s">
        <v>192</v>
      </c>
      <c r="C509" s="8" t="s">
        <v>194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11"/>
      <c r="O509" s="11"/>
      <c r="P509" s="11"/>
      <c r="Q509" s="11"/>
    </row>
    <row r="510" spans="1:17">
      <c r="A510" s="8" t="s">
        <v>227</v>
      </c>
      <c r="B510" s="8" t="s">
        <v>195</v>
      </c>
      <c r="C510" s="8" t="s">
        <v>196</v>
      </c>
      <c r="D510" s="8">
        <v>0</v>
      </c>
      <c r="E510" s="8">
        <v>0</v>
      </c>
      <c r="F510" s="8">
        <v>0.307808722061265</v>
      </c>
      <c r="G510" s="8">
        <v>0</v>
      </c>
      <c r="H510" s="8">
        <v>1.03779908502435</v>
      </c>
      <c r="I510" s="8">
        <v>0</v>
      </c>
      <c r="J510" s="8">
        <v>0</v>
      </c>
      <c r="K510" s="8">
        <v>0</v>
      </c>
      <c r="L510" s="8">
        <v>0</v>
      </c>
      <c r="M510" s="8">
        <v>1.13101392170024</v>
      </c>
      <c r="N510" s="11"/>
      <c r="O510" s="11"/>
      <c r="P510" s="11"/>
      <c r="Q510" s="11"/>
    </row>
    <row r="511" spans="1:17">
      <c r="A511" s="8" t="s">
        <v>227</v>
      </c>
      <c r="B511" s="8" t="s">
        <v>195</v>
      </c>
      <c r="C511" s="8" t="s">
        <v>197</v>
      </c>
      <c r="D511" s="8">
        <v>0</v>
      </c>
      <c r="E511" s="8">
        <v>0</v>
      </c>
      <c r="F511" s="8">
        <v>0.866424276302527</v>
      </c>
      <c r="G511" s="8">
        <v>0</v>
      </c>
      <c r="H511" s="8">
        <v>11.7123034951937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11"/>
      <c r="O511" s="11"/>
      <c r="P511" s="11"/>
      <c r="Q511" s="11"/>
    </row>
    <row r="512" spans="1:17">
      <c r="A512" s="8" t="s">
        <v>227</v>
      </c>
      <c r="B512" s="8" t="s">
        <v>198</v>
      </c>
      <c r="C512" s="8" t="s">
        <v>199</v>
      </c>
      <c r="D512" s="8">
        <v>0</v>
      </c>
      <c r="E512" s="8">
        <v>0.902123262871895</v>
      </c>
      <c r="F512" s="8">
        <v>0</v>
      </c>
      <c r="G512" s="8">
        <v>5.07603488483532</v>
      </c>
      <c r="H512" s="8">
        <v>0</v>
      </c>
      <c r="I512" s="8">
        <v>0</v>
      </c>
      <c r="J512" s="8">
        <v>0</v>
      </c>
      <c r="K512" s="8">
        <v>0</v>
      </c>
      <c r="L512" s="8">
        <v>34.8441432980008</v>
      </c>
      <c r="M512" s="8">
        <v>0</v>
      </c>
      <c r="N512" s="11"/>
      <c r="O512" s="11"/>
      <c r="P512" s="11"/>
      <c r="Q512" s="11"/>
    </row>
    <row r="513" spans="1:17">
      <c r="A513" s="8" t="s">
        <v>227</v>
      </c>
      <c r="B513" s="8" t="s">
        <v>36</v>
      </c>
      <c r="C513" s="8" t="s">
        <v>130</v>
      </c>
      <c r="D513" s="8">
        <v>0</v>
      </c>
      <c r="E513" s="8">
        <v>0</v>
      </c>
      <c r="F513" s="8">
        <v>0</v>
      </c>
      <c r="G513" s="8">
        <v>0</v>
      </c>
      <c r="H513" s="8">
        <v>24.448428857959</v>
      </c>
      <c r="I513" s="8">
        <v>0</v>
      </c>
      <c r="J513" s="8">
        <v>1.17709544564557</v>
      </c>
      <c r="K513" s="8">
        <v>0</v>
      </c>
      <c r="L513" s="8">
        <v>0</v>
      </c>
      <c r="M513" s="8">
        <v>0</v>
      </c>
      <c r="N513" s="11"/>
      <c r="O513" s="11"/>
      <c r="P513" s="11"/>
      <c r="Q513" s="11"/>
    </row>
    <row r="514" spans="1:17">
      <c r="A514" s="8" t="s">
        <v>227</v>
      </c>
      <c r="B514" s="8" t="s">
        <v>200</v>
      </c>
      <c r="C514" s="8" t="s">
        <v>97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11"/>
      <c r="O514" s="11"/>
      <c r="P514" s="11"/>
      <c r="Q514" s="11"/>
    </row>
    <row r="515" spans="1:17">
      <c r="A515" s="8" t="s">
        <v>227</v>
      </c>
      <c r="B515" s="8" t="s">
        <v>200</v>
      </c>
      <c r="C515" s="8" t="s">
        <v>98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4.3794377498545</v>
      </c>
      <c r="K515" s="8">
        <v>0</v>
      </c>
      <c r="L515" s="8">
        <v>0</v>
      </c>
      <c r="M515" s="8">
        <v>0</v>
      </c>
      <c r="N515" s="11"/>
      <c r="O515" s="11"/>
      <c r="P515" s="11"/>
      <c r="Q515" s="11"/>
    </row>
    <row r="516" spans="1:17">
      <c r="A516" s="8" t="s">
        <v>227</v>
      </c>
      <c r="B516" s="8" t="s">
        <v>200</v>
      </c>
      <c r="C516" s="8" t="s">
        <v>95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11"/>
      <c r="O516" s="11"/>
      <c r="P516" s="11"/>
      <c r="Q516" s="11"/>
    </row>
    <row r="517" spans="1:17">
      <c r="A517" s="8" t="s">
        <v>227</v>
      </c>
      <c r="B517" s="8" t="s">
        <v>200</v>
      </c>
      <c r="C517" s="8" t="s">
        <v>93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11"/>
      <c r="O517" s="11"/>
      <c r="P517" s="11"/>
      <c r="Q517" s="11"/>
    </row>
    <row r="518" spans="1:17">
      <c r="A518" s="8" t="s">
        <v>227</v>
      </c>
      <c r="B518" s="8" t="s">
        <v>200</v>
      </c>
      <c r="C518" s="8" t="s">
        <v>96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11"/>
      <c r="O518" s="11"/>
      <c r="P518" s="11"/>
      <c r="Q518" s="11"/>
    </row>
    <row r="519" spans="1:17">
      <c r="A519" s="8" t="s">
        <v>227</v>
      </c>
      <c r="B519" s="8" t="s">
        <v>200</v>
      </c>
      <c r="C519" s="8" t="s">
        <v>94</v>
      </c>
      <c r="D519" s="8">
        <v>0</v>
      </c>
      <c r="E519" s="8">
        <v>0</v>
      </c>
      <c r="F519" s="8">
        <v>2.42271847017985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1.30052372303388</v>
      </c>
      <c r="N519" s="11"/>
      <c r="O519" s="11"/>
      <c r="P519" s="11"/>
      <c r="Q519" s="11"/>
    </row>
    <row r="520" spans="1:17">
      <c r="A520" s="8" t="s">
        <v>227</v>
      </c>
      <c r="B520" s="8" t="s">
        <v>201</v>
      </c>
      <c r="C520" s="8" t="s">
        <v>202</v>
      </c>
      <c r="D520" s="8">
        <v>0</v>
      </c>
      <c r="E520" s="8">
        <v>0</v>
      </c>
      <c r="F520" s="8">
        <v>0</v>
      </c>
      <c r="G520" s="8">
        <v>0</v>
      </c>
      <c r="H520" s="8">
        <v>2.18627857351203</v>
      </c>
      <c r="I520" s="8">
        <v>0</v>
      </c>
      <c r="J520" s="8">
        <v>0</v>
      </c>
      <c r="K520" s="8">
        <v>0</v>
      </c>
      <c r="L520" s="8">
        <v>1.30734809304613</v>
      </c>
      <c r="M520" s="8">
        <v>0</v>
      </c>
      <c r="N520" s="11"/>
      <c r="O520" s="11"/>
      <c r="P520" s="11"/>
      <c r="Q520" s="11"/>
    </row>
    <row r="521" spans="1:17">
      <c r="A521" s="11"/>
      <c r="B521" s="11"/>
      <c r="C521" s="11"/>
      <c r="D521" s="2" t="s">
        <v>185</v>
      </c>
      <c r="E521" s="3"/>
      <c r="F521" s="3"/>
      <c r="G521" s="3"/>
      <c r="H521" s="4"/>
      <c r="I521" s="5" t="s">
        <v>186</v>
      </c>
      <c r="J521" s="6"/>
      <c r="K521" s="6"/>
      <c r="L521" s="6"/>
      <c r="M521" s="7"/>
      <c r="N521" s="8" t="s">
        <v>203</v>
      </c>
      <c r="O521" s="8" t="s">
        <v>203</v>
      </c>
      <c r="P521" s="8" t="s">
        <v>248</v>
      </c>
      <c r="Q521" s="8" t="s">
        <v>248</v>
      </c>
    </row>
    <row r="522" spans="1:17">
      <c r="A522" s="11"/>
      <c r="B522" s="8" t="s">
        <v>227</v>
      </c>
      <c r="C522" s="8" t="s">
        <v>37</v>
      </c>
      <c r="D522" s="8">
        <f t="shared" ref="D522:M522" si="200">SUM(D506:D512)</f>
        <v>0</v>
      </c>
      <c r="E522" s="8">
        <f t="shared" si="200"/>
        <v>0.902123262871895</v>
      </c>
      <c r="F522" s="8">
        <f t="shared" si="200"/>
        <v>1.17423299836379</v>
      </c>
      <c r="G522" s="8">
        <f t="shared" si="200"/>
        <v>5.07603488483532</v>
      </c>
      <c r="H522" s="8">
        <f t="shared" si="200"/>
        <v>12.750102580218</v>
      </c>
      <c r="I522" s="8">
        <f t="shared" si="200"/>
        <v>0</v>
      </c>
      <c r="J522" s="8">
        <f t="shared" si="200"/>
        <v>0</v>
      </c>
      <c r="K522" s="8">
        <f t="shared" si="200"/>
        <v>0</v>
      </c>
      <c r="L522" s="8">
        <f t="shared" si="200"/>
        <v>34.8441432980008</v>
      </c>
      <c r="M522" s="8">
        <f t="shared" si="200"/>
        <v>1.13101392170024</v>
      </c>
      <c r="N522" s="8">
        <f t="shared" ref="N522:N524" si="201">AVERAGE(D522:H522)</f>
        <v>3.98049874525781</v>
      </c>
      <c r="O522" s="8">
        <f t="shared" ref="O522:O524" si="202">AVERAGE(I522:M522)</f>
        <v>7.19503144394021</v>
      </c>
      <c r="P522" s="8">
        <f t="shared" ref="P522:P524" si="203">LOG(N522+1,2)</f>
        <v>2.31629022046239</v>
      </c>
      <c r="Q522" s="8">
        <f t="shared" ref="Q522:Q524" si="204">LOG(O522+1,2)</f>
        <v>3.03474948488661</v>
      </c>
    </row>
    <row r="523" spans="1:17">
      <c r="A523" s="11"/>
      <c r="B523" s="8" t="s">
        <v>227</v>
      </c>
      <c r="C523" s="8" t="s">
        <v>36</v>
      </c>
      <c r="D523" s="8">
        <f t="shared" ref="D523:M523" si="205">D513</f>
        <v>0</v>
      </c>
      <c r="E523" s="8">
        <f t="shared" si="205"/>
        <v>0</v>
      </c>
      <c r="F523" s="8">
        <f t="shared" si="205"/>
        <v>0</v>
      </c>
      <c r="G523" s="8">
        <f t="shared" si="205"/>
        <v>0</v>
      </c>
      <c r="H523" s="8">
        <f t="shared" si="205"/>
        <v>24.448428857959</v>
      </c>
      <c r="I523" s="8">
        <f t="shared" si="205"/>
        <v>0</v>
      </c>
      <c r="J523" s="8">
        <f t="shared" si="205"/>
        <v>1.17709544564557</v>
      </c>
      <c r="K523" s="8">
        <f t="shared" si="205"/>
        <v>0</v>
      </c>
      <c r="L523" s="8">
        <f t="shared" si="205"/>
        <v>0</v>
      </c>
      <c r="M523" s="8">
        <f t="shared" si="205"/>
        <v>0</v>
      </c>
      <c r="N523" s="8">
        <f t="shared" si="201"/>
        <v>4.88968577159181</v>
      </c>
      <c r="O523" s="8">
        <f t="shared" si="202"/>
        <v>0.235419089129114</v>
      </c>
      <c r="P523" s="8">
        <f t="shared" si="203"/>
        <v>2.55819066497946</v>
      </c>
      <c r="Q523" s="8">
        <f t="shared" si="204"/>
        <v>0.305000527838234</v>
      </c>
    </row>
    <row r="524" spans="1:17">
      <c r="A524" s="11"/>
      <c r="B524" s="8" t="s">
        <v>227</v>
      </c>
      <c r="C524" s="8" t="s">
        <v>35</v>
      </c>
      <c r="D524" s="8">
        <f t="shared" ref="D524:M524" si="206">SUM(D514:D520)</f>
        <v>0</v>
      </c>
      <c r="E524" s="8">
        <f t="shared" si="206"/>
        <v>0</v>
      </c>
      <c r="F524" s="8">
        <f t="shared" si="206"/>
        <v>2.42271847017985</v>
      </c>
      <c r="G524" s="8">
        <f t="shared" si="206"/>
        <v>0</v>
      </c>
      <c r="H524" s="8">
        <f t="shared" si="206"/>
        <v>2.18627857351203</v>
      </c>
      <c r="I524" s="8">
        <f t="shared" si="206"/>
        <v>0</v>
      </c>
      <c r="J524" s="8">
        <f t="shared" si="206"/>
        <v>4.3794377498545</v>
      </c>
      <c r="K524" s="8">
        <f t="shared" si="206"/>
        <v>0</v>
      </c>
      <c r="L524" s="8">
        <f t="shared" si="206"/>
        <v>1.30734809304613</v>
      </c>
      <c r="M524" s="8">
        <f t="shared" si="206"/>
        <v>1.30052372303388</v>
      </c>
      <c r="N524" s="8">
        <f t="shared" si="201"/>
        <v>0.921799408738375</v>
      </c>
      <c r="O524" s="8">
        <f t="shared" si="202"/>
        <v>1.3974619131869</v>
      </c>
      <c r="P524" s="8">
        <f t="shared" si="203"/>
        <v>0.942457760086288</v>
      </c>
      <c r="Q524" s="8">
        <f t="shared" si="204"/>
        <v>1.26150789633086</v>
      </c>
    </row>
    <row r="525" spans="1:1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8"/>
      <c r="O525" s="8"/>
      <c r="P525" s="11"/>
      <c r="Q525" s="11"/>
    </row>
    <row r="526" spans="1:17">
      <c r="A526" s="11"/>
      <c r="B526" s="8" t="s">
        <v>227</v>
      </c>
      <c r="C526" s="8" t="s">
        <v>37</v>
      </c>
      <c r="D526" s="8">
        <f t="shared" ref="D526:M526" si="207">LOG(D522+1,2)</f>
        <v>0</v>
      </c>
      <c r="E526" s="8">
        <f t="shared" si="207"/>
        <v>0.927610739874565</v>
      </c>
      <c r="F526" s="8">
        <f t="shared" si="207"/>
        <v>1.12050655286387</v>
      </c>
      <c r="G526" s="8">
        <f t="shared" si="207"/>
        <v>2.60313015292664</v>
      </c>
      <c r="H526" s="8">
        <f t="shared" si="207"/>
        <v>3.78137047653701</v>
      </c>
      <c r="I526" s="8">
        <f t="shared" si="207"/>
        <v>0</v>
      </c>
      <c r="J526" s="8">
        <f t="shared" si="207"/>
        <v>0</v>
      </c>
      <c r="K526" s="8">
        <f t="shared" si="207"/>
        <v>0</v>
      </c>
      <c r="L526" s="8">
        <f t="shared" si="207"/>
        <v>5.16366550599908</v>
      </c>
      <c r="M526" s="15">
        <f t="shared" si="207"/>
        <v>1.09154001813343</v>
      </c>
      <c r="N526" s="8"/>
      <c r="O526" s="8"/>
      <c r="P526" s="11"/>
      <c r="Q526" s="11"/>
    </row>
    <row r="527" spans="1:17">
      <c r="A527" s="11"/>
      <c r="B527" s="8" t="s">
        <v>227</v>
      </c>
      <c r="C527" s="8" t="s">
        <v>36</v>
      </c>
      <c r="D527" s="8">
        <f t="shared" ref="D527:M527" si="208">LOG(D523+1,2)</f>
        <v>0</v>
      </c>
      <c r="E527" s="8">
        <f t="shared" si="208"/>
        <v>0</v>
      </c>
      <c r="F527" s="8">
        <f t="shared" si="208"/>
        <v>0</v>
      </c>
      <c r="G527" s="8">
        <f t="shared" si="208"/>
        <v>0</v>
      </c>
      <c r="H527" s="8">
        <f t="shared" si="208"/>
        <v>4.66950468443784</v>
      </c>
      <c r="I527" s="8">
        <f t="shared" si="208"/>
        <v>0</v>
      </c>
      <c r="J527" s="8">
        <f t="shared" si="208"/>
        <v>1.12240465784356</v>
      </c>
      <c r="K527" s="8">
        <f t="shared" si="208"/>
        <v>0</v>
      </c>
      <c r="L527" s="8">
        <f t="shared" si="208"/>
        <v>0</v>
      </c>
      <c r="M527" s="15">
        <f t="shared" si="208"/>
        <v>0</v>
      </c>
      <c r="N527" s="8"/>
      <c r="O527" s="8"/>
      <c r="P527" s="11"/>
      <c r="Q527" s="11"/>
    </row>
    <row r="528" spans="1:17">
      <c r="A528" s="11"/>
      <c r="B528" s="8" t="s">
        <v>227</v>
      </c>
      <c r="C528" s="8" t="s">
        <v>35</v>
      </c>
      <c r="D528" s="8">
        <f t="shared" ref="D528:M528" si="209">LOG(D524+1,2)</f>
        <v>0</v>
      </c>
      <c r="E528" s="8">
        <f t="shared" si="209"/>
        <v>0</v>
      </c>
      <c r="F528" s="8">
        <f t="shared" si="209"/>
        <v>1.77514263082891</v>
      </c>
      <c r="G528" s="8">
        <f t="shared" si="209"/>
        <v>0</v>
      </c>
      <c r="H528" s="8">
        <f t="shared" si="209"/>
        <v>1.67187240592634</v>
      </c>
      <c r="I528" s="8">
        <f t="shared" si="209"/>
        <v>0</v>
      </c>
      <c r="J528" s="8">
        <f t="shared" si="209"/>
        <v>2.42745539250578</v>
      </c>
      <c r="K528" s="8">
        <f t="shared" si="209"/>
        <v>0</v>
      </c>
      <c r="L528" s="8">
        <f t="shared" si="209"/>
        <v>1.2062356694862</v>
      </c>
      <c r="M528" s="15">
        <f t="shared" si="209"/>
        <v>1.20196233360998</v>
      </c>
      <c r="N528" s="8"/>
      <c r="O528" s="8"/>
      <c r="P528" s="11"/>
      <c r="Q528" s="11"/>
    </row>
    <row r="529" spans="1:1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>
      <c r="A531" s="8" t="s">
        <v>228</v>
      </c>
      <c r="B531" s="8" t="s">
        <v>188</v>
      </c>
      <c r="C531" s="8" t="s">
        <v>189</v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11"/>
      <c r="O531" s="11"/>
      <c r="P531" s="11"/>
      <c r="Q531" s="11"/>
    </row>
    <row r="532" spans="1:17">
      <c r="A532" s="8" t="s">
        <v>228</v>
      </c>
      <c r="B532" s="8" t="s">
        <v>190</v>
      </c>
      <c r="C532" s="8" t="s">
        <v>191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11"/>
      <c r="O532" s="11"/>
      <c r="P532" s="11"/>
      <c r="Q532" s="11"/>
    </row>
    <row r="533" spans="1:17">
      <c r="A533" s="8" t="s">
        <v>228</v>
      </c>
      <c r="B533" s="8" t="s">
        <v>192</v>
      </c>
      <c r="C533" s="8" t="s">
        <v>193</v>
      </c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11"/>
      <c r="O533" s="11"/>
      <c r="P533" s="11"/>
      <c r="Q533" s="11"/>
    </row>
    <row r="534" spans="1:17">
      <c r="A534" s="8" t="s">
        <v>228</v>
      </c>
      <c r="B534" s="8" t="s">
        <v>192</v>
      </c>
      <c r="C534" s="8" t="s">
        <v>194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11"/>
      <c r="O534" s="11"/>
      <c r="P534" s="11"/>
      <c r="Q534" s="11"/>
    </row>
    <row r="535" spans="1:17">
      <c r="A535" s="8" t="s">
        <v>228</v>
      </c>
      <c r="B535" s="8" t="s">
        <v>195</v>
      </c>
      <c r="C535" s="8" t="s">
        <v>196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11"/>
      <c r="O535" s="11"/>
      <c r="P535" s="11"/>
      <c r="Q535" s="11"/>
    </row>
    <row r="536" spans="1:17">
      <c r="A536" s="8" t="s">
        <v>228</v>
      </c>
      <c r="B536" s="8" t="s">
        <v>195</v>
      </c>
      <c r="C536" s="8" t="s">
        <v>197</v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11"/>
      <c r="O536" s="11"/>
      <c r="P536" s="11"/>
      <c r="Q536" s="11"/>
    </row>
    <row r="537" spans="1:17">
      <c r="A537" s="8" t="s">
        <v>228</v>
      </c>
      <c r="B537" s="8" t="s">
        <v>198</v>
      </c>
      <c r="C537" s="8" t="s">
        <v>199</v>
      </c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11"/>
      <c r="O537" s="11"/>
      <c r="P537" s="11"/>
      <c r="Q537" s="11"/>
    </row>
    <row r="538" spans="1:17">
      <c r="A538" s="8" t="s">
        <v>228</v>
      </c>
      <c r="B538" s="8" t="s">
        <v>36</v>
      </c>
      <c r="C538" s="8" t="s">
        <v>130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11"/>
      <c r="O538" s="11"/>
      <c r="P538" s="11"/>
      <c r="Q538" s="11"/>
    </row>
    <row r="539" spans="1:17">
      <c r="A539" s="8" t="s">
        <v>228</v>
      </c>
      <c r="B539" s="8" t="s">
        <v>200</v>
      </c>
      <c r="C539" s="8" t="s">
        <v>97</v>
      </c>
      <c r="D539" s="8">
        <v>0</v>
      </c>
      <c r="E539" s="8">
        <v>0</v>
      </c>
      <c r="F539" s="8">
        <v>0</v>
      </c>
      <c r="G539" s="8">
        <v>8.63471820248337</v>
      </c>
      <c r="H539" s="8">
        <v>0</v>
      </c>
      <c r="I539" s="8">
        <v>0</v>
      </c>
      <c r="J539" s="8">
        <v>0</v>
      </c>
      <c r="K539" s="8">
        <v>5.57694479836183</v>
      </c>
      <c r="L539" s="8">
        <v>14.7547033354869</v>
      </c>
      <c r="M539" s="8">
        <v>0</v>
      </c>
      <c r="N539" s="11"/>
      <c r="O539" s="11"/>
      <c r="P539" s="11"/>
      <c r="Q539" s="11"/>
    </row>
    <row r="540" spans="1:17">
      <c r="A540" s="8" t="s">
        <v>228</v>
      </c>
      <c r="B540" s="8" t="s">
        <v>200</v>
      </c>
      <c r="C540" s="8" t="s">
        <v>98</v>
      </c>
      <c r="D540" s="8">
        <v>0</v>
      </c>
      <c r="E540" s="8">
        <v>9.58827448156408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6.48824098897825</v>
      </c>
      <c r="M540" s="8">
        <v>0</v>
      </c>
      <c r="N540" s="11"/>
      <c r="O540" s="11"/>
      <c r="P540" s="11"/>
      <c r="Q540" s="11"/>
    </row>
    <row r="541" spans="1:17">
      <c r="A541" s="8" t="s">
        <v>228</v>
      </c>
      <c r="B541" s="8" t="s">
        <v>200</v>
      </c>
      <c r="C541" s="8" t="s">
        <v>95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7.78031798955501</v>
      </c>
      <c r="L541" s="8">
        <v>0</v>
      </c>
      <c r="M541" s="8">
        <v>0</v>
      </c>
      <c r="N541" s="11"/>
      <c r="O541" s="11"/>
      <c r="P541" s="11"/>
      <c r="Q541" s="11"/>
    </row>
    <row r="542" spans="1:17">
      <c r="A542" s="8" t="s">
        <v>228</v>
      </c>
      <c r="B542" s="8" t="s">
        <v>200</v>
      </c>
      <c r="C542" s="8" t="s">
        <v>93</v>
      </c>
      <c r="D542" s="8">
        <v>0</v>
      </c>
      <c r="E542" s="8">
        <v>0</v>
      </c>
      <c r="F542" s="8">
        <v>0</v>
      </c>
      <c r="G542" s="8">
        <v>7.41702552947574</v>
      </c>
      <c r="H542" s="8">
        <v>0</v>
      </c>
      <c r="I542" s="8">
        <v>0</v>
      </c>
      <c r="J542" s="8">
        <v>0</v>
      </c>
      <c r="K542" s="8">
        <v>0</v>
      </c>
      <c r="L542" s="8">
        <v>7.68566849481498</v>
      </c>
      <c r="M542" s="8">
        <v>5.06084426362526</v>
      </c>
      <c r="N542" s="11"/>
      <c r="O542" s="11"/>
      <c r="P542" s="11"/>
      <c r="Q542" s="11"/>
    </row>
    <row r="543" spans="1:17">
      <c r="A543" s="8" t="s">
        <v>228</v>
      </c>
      <c r="B543" s="8" t="s">
        <v>200</v>
      </c>
      <c r="C543" s="8" t="s">
        <v>96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11"/>
      <c r="O543" s="11"/>
      <c r="P543" s="11"/>
      <c r="Q543" s="11"/>
    </row>
    <row r="544" spans="1:17">
      <c r="A544" s="8" t="s">
        <v>228</v>
      </c>
      <c r="B544" s="8" t="s">
        <v>200</v>
      </c>
      <c r="C544" s="8" t="s">
        <v>94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6.85057171442134</v>
      </c>
      <c r="J544" s="8">
        <v>0</v>
      </c>
      <c r="K544" s="8">
        <v>0</v>
      </c>
      <c r="L544" s="8">
        <v>3.5531200585179</v>
      </c>
      <c r="M544" s="8">
        <v>0</v>
      </c>
      <c r="N544" s="11"/>
      <c r="O544" s="11"/>
      <c r="P544" s="11"/>
      <c r="Q544" s="11"/>
    </row>
    <row r="545" spans="1:17">
      <c r="A545" s="8" t="s">
        <v>228</v>
      </c>
      <c r="B545" s="8" t="s">
        <v>201</v>
      </c>
      <c r="C545" s="8" t="s">
        <v>202</v>
      </c>
      <c r="D545" s="8">
        <v>0</v>
      </c>
      <c r="E545" s="8">
        <v>0</v>
      </c>
      <c r="F545" s="8">
        <v>0</v>
      </c>
      <c r="G545" s="8">
        <v>3.82471016563739</v>
      </c>
      <c r="H545" s="8">
        <v>0</v>
      </c>
      <c r="I545" s="8">
        <v>0</v>
      </c>
      <c r="J545" s="8">
        <v>0</v>
      </c>
      <c r="K545" s="8">
        <v>0</v>
      </c>
      <c r="L545" s="8">
        <v>8.10560257940238</v>
      </c>
      <c r="M545" s="8">
        <v>0</v>
      </c>
      <c r="N545" s="11"/>
      <c r="O545" s="11"/>
      <c r="P545" s="11"/>
      <c r="Q545" s="11"/>
    </row>
    <row r="546" spans="1:17">
      <c r="A546" s="11"/>
      <c r="B546" s="11"/>
      <c r="C546" s="11"/>
      <c r="D546" s="2" t="s">
        <v>185</v>
      </c>
      <c r="E546" s="3"/>
      <c r="F546" s="3"/>
      <c r="G546" s="3"/>
      <c r="H546" s="4"/>
      <c r="I546" s="5" t="s">
        <v>186</v>
      </c>
      <c r="J546" s="6"/>
      <c r="K546" s="6"/>
      <c r="L546" s="6"/>
      <c r="M546" s="7"/>
      <c r="N546" s="8" t="s">
        <v>203</v>
      </c>
      <c r="O546" s="8" t="s">
        <v>203</v>
      </c>
      <c r="P546" s="8" t="s">
        <v>248</v>
      </c>
      <c r="Q546" s="8" t="s">
        <v>248</v>
      </c>
    </row>
    <row r="547" spans="1:17">
      <c r="A547" s="11"/>
      <c r="B547" s="8" t="s">
        <v>228</v>
      </c>
      <c r="C547" s="8" t="s">
        <v>37</v>
      </c>
      <c r="D547" s="8">
        <f t="shared" ref="D547:M547" si="210">SUM(D531:D537)</f>
        <v>0</v>
      </c>
      <c r="E547" s="8">
        <f t="shared" si="210"/>
        <v>0</v>
      </c>
      <c r="F547" s="8">
        <f t="shared" si="210"/>
        <v>0</v>
      </c>
      <c r="G547" s="8">
        <f t="shared" si="210"/>
        <v>0</v>
      </c>
      <c r="H547" s="8">
        <f t="shared" si="210"/>
        <v>0</v>
      </c>
      <c r="I547" s="8">
        <f t="shared" si="210"/>
        <v>0</v>
      </c>
      <c r="J547" s="8">
        <f t="shared" si="210"/>
        <v>0</v>
      </c>
      <c r="K547" s="8">
        <f t="shared" si="210"/>
        <v>0</v>
      </c>
      <c r="L547" s="8">
        <f t="shared" si="210"/>
        <v>0</v>
      </c>
      <c r="M547" s="8">
        <f t="shared" si="210"/>
        <v>0</v>
      </c>
      <c r="N547" s="8">
        <f t="shared" ref="N547:N549" si="211">AVERAGE(D547:H547)</f>
        <v>0</v>
      </c>
      <c r="O547" s="8">
        <f t="shared" ref="O547:O549" si="212">AVERAGE(I547:M547)</f>
        <v>0</v>
      </c>
      <c r="P547" s="8">
        <f t="shared" ref="P547:P549" si="213">LOG(N547+1,2)</f>
        <v>0</v>
      </c>
      <c r="Q547" s="8">
        <f t="shared" ref="Q547:Q549" si="214">LOG(O547+1,2)</f>
        <v>0</v>
      </c>
    </row>
    <row r="548" spans="1:17">
      <c r="A548" s="11"/>
      <c r="B548" s="8" t="s">
        <v>228</v>
      </c>
      <c r="C548" s="8" t="s">
        <v>36</v>
      </c>
      <c r="D548" s="8">
        <f t="shared" ref="D548:M548" si="215">D538</f>
        <v>0</v>
      </c>
      <c r="E548" s="8">
        <f t="shared" si="215"/>
        <v>0</v>
      </c>
      <c r="F548" s="8">
        <f t="shared" si="215"/>
        <v>0</v>
      </c>
      <c r="G548" s="8">
        <f t="shared" si="215"/>
        <v>0</v>
      </c>
      <c r="H548" s="8">
        <f t="shared" si="215"/>
        <v>0</v>
      </c>
      <c r="I548" s="8">
        <f t="shared" si="215"/>
        <v>0</v>
      </c>
      <c r="J548" s="8">
        <f t="shared" si="215"/>
        <v>0</v>
      </c>
      <c r="K548" s="8">
        <f t="shared" si="215"/>
        <v>0</v>
      </c>
      <c r="L548" s="8">
        <f t="shared" si="215"/>
        <v>0</v>
      </c>
      <c r="M548" s="8">
        <f t="shared" si="215"/>
        <v>0</v>
      </c>
      <c r="N548" s="8">
        <f t="shared" si="211"/>
        <v>0</v>
      </c>
      <c r="O548" s="8">
        <f t="shared" si="212"/>
        <v>0</v>
      </c>
      <c r="P548" s="8">
        <f t="shared" si="213"/>
        <v>0</v>
      </c>
      <c r="Q548" s="8">
        <f t="shared" si="214"/>
        <v>0</v>
      </c>
    </row>
    <row r="549" spans="1:17">
      <c r="A549" s="11"/>
      <c r="B549" s="8" t="s">
        <v>228</v>
      </c>
      <c r="C549" s="8" t="s">
        <v>35</v>
      </c>
      <c r="D549" s="8">
        <f t="shared" ref="D549:M549" si="216">SUM(D539:D545)</f>
        <v>0</v>
      </c>
      <c r="E549" s="8">
        <f t="shared" si="216"/>
        <v>9.58827448156408</v>
      </c>
      <c r="F549" s="8">
        <f t="shared" si="216"/>
        <v>0</v>
      </c>
      <c r="G549" s="8">
        <f t="shared" si="216"/>
        <v>19.8764538975965</v>
      </c>
      <c r="H549" s="8">
        <f t="shared" si="216"/>
        <v>0</v>
      </c>
      <c r="I549" s="8">
        <f t="shared" si="216"/>
        <v>6.85057171442134</v>
      </c>
      <c r="J549" s="8">
        <f t="shared" si="216"/>
        <v>0</v>
      </c>
      <c r="K549" s="8">
        <f t="shared" si="216"/>
        <v>13.3572627879168</v>
      </c>
      <c r="L549" s="8">
        <f t="shared" si="216"/>
        <v>40.5873354572004</v>
      </c>
      <c r="M549" s="8">
        <f t="shared" si="216"/>
        <v>5.06084426362526</v>
      </c>
      <c r="N549" s="8">
        <f t="shared" si="211"/>
        <v>5.89294567583212</v>
      </c>
      <c r="O549" s="8">
        <f t="shared" si="212"/>
        <v>13.1712028446328</v>
      </c>
      <c r="P549" s="8">
        <f t="shared" si="213"/>
        <v>2.78512064530055</v>
      </c>
      <c r="Q549" s="8">
        <f t="shared" si="214"/>
        <v>3.82489031357641</v>
      </c>
    </row>
    <row r="550" spans="1:1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8"/>
      <c r="O550" s="8"/>
      <c r="P550" s="11"/>
      <c r="Q550" s="11"/>
    </row>
    <row r="551" spans="1:17">
      <c r="A551" s="11"/>
      <c r="B551" s="8" t="s">
        <v>228</v>
      </c>
      <c r="C551" s="8" t="s">
        <v>37</v>
      </c>
      <c r="D551" s="8">
        <f t="shared" ref="D551:M551" si="217">LOG(D547+1,2)</f>
        <v>0</v>
      </c>
      <c r="E551" s="8">
        <f t="shared" si="217"/>
        <v>0</v>
      </c>
      <c r="F551" s="8">
        <f t="shared" si="217"/>
        <v>0</v>
      </c>
      <c r="G551" s="8">
        <f t="shared" si="217"/>
        <v>0</v>
      </c>
      <c r="H551" s="8">
        <f t="shared" si="217"/>
        <v>0</v>
      </c>
      <c r="I551" s="8">
        <f t="shared" si="217"/>
        <v>0</v>
      </c>
      <c r="J551" s="8">
        <f t="shared" si="217"/>
        <v>0</v>
      </c>
      <c r="K551" s="8">
        <f t="shared" si="217"/>
        <v>0</v>
      </c>
      <c r="L551" s="8">
        <f t="shared" si="217"/>
        <v>0</v>
      </c>
      <c r="M551" s="15">
        <f t="shared" si="217"/>
        <v>0</v>
      </c>
      <c r="N551" s="8"/>
      <c r="O551" s="8"/>
      <c r="P551" s="11"/>
      <c r="Q551" s="11"/>
    </row>
    <row r="552" spans="1:17">
      <c r="A552" s="11"/>
      <c r="B552" s="8" t="s">
        <v>228</v>
      </c>
      <c r="C552" s="8" t="s">
        <v>36</v>
      </c>
      <c r="D552" s="8">
        <f t="shared" ref="D552:M552" si="218">LOG(D548+1,2)</f>
        <v>0</v>
      </c>
      <c r="E552" s="8">
        <f t="shared" si="218"/>
        <v>0</v>
      </c>
      <c r="F552" s="8">
        <f t="shared" si="218"/>
        <v>0</v>
      </c>
      <c r="G552" s="8">
        <f t="shared" si="218"/>
        <v>0</v>
      </c>
      <c r="H552" s="8">
        <f t="shared" si="218"/>
        <v>0</v>
      </c>
      <c r="I552" s="8">
        <f t="shared" si="218"/>
        <v>0</v>
      </c>
      <c r="J552" s="8">
        <f t="shared" si="218"/>
        <v>0</v>
      </c>
      <c r="K552" s="8">
        <f t="shared" si="218"/>
        <v>0</v>
      </c>
      <c r="L552" s="8">
        <f t="shared" si="218"/>
        <v>0</v>
      </c>
      <c r="M552" s="15">
        <f t="shared" si="218"/>
        <v>0</v>
      </c>
      <c r="N552" s="8"/>
      <c r="O552" s="8"/>
      <c r="P552" s="11"/>
      <c r="Q552" s="11"/>
    </row>
    <row r="553" spans="1:17">
      <c r="A553" s="11"/>
      <c r="B553" s="8" t="s">
        <v>228</v>
      </c>
      <c r="C553" s="8" t="s">
        <v>35</v>
      </c>
      <c r="D553" s="8">
        <f t="shared" ref="D553:M553" si="219">LOG(D549+1,2)</f>
        <v>0</v>
      </c>
      <c r="E553" s="8">
        <f t="shared" si="219"/>
        <v>3.40439559453661</v>
      </c>
      <c r="F553" s="8">
        <f t="shared" si="219"/>
        <v>0</v>
      </c>
      <c r="G553" s="8">
        <f t="shared" si="219"/>
        <v>4.38380476949497</v>
      </c>
      <c r="H553" s="8">
        <f t="shared" si="219"/>
        <v>0</v>
      </c>
      <c r="I553" s="8">
        <f t="shared" si="219"/>
        <v>2.97279772145988</v>
      </c>
      <c r="J553" s="8">
        <f t="shared" si="219"/>
        <v>0</v>
      </c>
      <c r="K553" s="8">
        <f t="shared" si="219"/>
        <v>3.84370882046134</v>
      </c>
      <c r="L553" s="8">
        <f t="shared" si="219"/>
        <v>5.3780723478969</v>
      </c>
      <c r="M553" s="15">
        <f t="shared" si="219"/>
        <v>2.59951877226388</v>
      </c>
      <c r="N553" s="8"/>
      <c r="O553" s="8"/>
      <c r="P553" s="11"/>
      <c r="Q553" s="11"/>
    </row>
    <row r="554" spans="1:1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>
      <c r="A556" s="8" t="s">
        <v>229</v>
      </c>
      <c r="B556" s="8" t="s">
        <v>188</v>
      </c>
      <c r="C556" s="8" t="s">
        <v>189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11"/>
      <c r="O556" s="11"/>
      <c r="P556" s="11"/>
      <c r="Q556" s="11"/>
    </row>
    <row r="557" spans="1:17">
      <c r="A557" s="8" t="s">
        <v>229</v>
      </c>
      <c r="B557" s="8" t="s">
        <v>190</v>
      </c>
      <c r="C557" s="8" t="s">
        <v>191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11"/>
      <c r="O557" s="11"/>
      <c r="P557" s="11"/>
      <c r="Q557" s="11"/>
    </row>
    <row r="558" spans="1:17">
      <c r="A558" s="8" t="s">
        <v>229</v>
      </c>
      <c r="B558" s="8" t="s">
        <v>192</v>
      </c>
      <c r="C558" s="8" t="s">
        <v>193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11"/>
      <c r="O558" s="11"/>
      <c r="P558" s="11"/>
      <c r="Q558" s="11"/>
    </row>
    <row r="559" spans="1:17">
      <c r="A559" s="8" t="s">
        <v>229</v>
      </c>
      <c r="B559" s="8" t="s">
        <v>192</v>
      </c>
      <c r="C559" s="8" t="s">
        <v>194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11"/>
      <c r="O559" s="11"/>
      <c r="P559" s="11"/>
      <c r="Q559" s="11"/>
    </row>
    <row r="560" spans="1:17">
      <c r="A560" s="8" t="s">
        <v>229</v>
      </c>
      <c r="B560" s="8" t="s">
        <v>195</v>
      </c>
      <c r="C560" s="8" t="s">
        <v>196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11"/>
      <c r="O560" s="11"/>
      <c r="P560" s="11"/>
      <c r="Q560" s="11"/>
    </row>
    <row r="561" spans="1:17">
      <c r="A561" s="8" t="s">
        <v>229</v>
      </c>
      <c r="B561" s="8" t="s">
        <v>195</v>
      </c>
      <c r="C561" s="8" t="s">
        <v>197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11"/>
      <c r="O561" s="11"/>
      <c r="P561" s="11"/>
      <c r="Q561" s="11"/>
    </row>
    <row r="562" spans="1:17">
      <c r="A562" s="8" t="s">
        <v>229</v>
      </c>
      <c r="B562" s="8" t="s">
        <v>198</v>
      </c>
      <c r="C562" s="8" t="s">
        <v>199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11"/>
      <c r="O562" s="11"/>
      <c r="P562" s="11"/>
      <c r="Q562" s="11"/>
    </row>
    <row r="563" spans="1:17">
      <c r="A563" s="8" t="s">
        <v>229</v>
      </c>
      <c r="B563" s="8" t="s">
        <v>36</v>
      </c>
      <c r="C563" s="8" t="s">
        <v>130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11"/>
      <c r="O563" s="11"/>
      <c r="P563" s="11"/>
      <c r="Q563" s="11"/>
    </row>
    <row r="564" spans="1:17">
      <c r="A564" s="8" t="s">
        <v>229</v>
      </c>
      <c r="B564" s="8" t="s">
        <v>200</v>
      </c>
      <c r="C564" s="8" t="s">
        <v>97</v>
      </c>
      <c r="D564" s="8">
        <v>0</v>
      </c>
      <c r="E564" s="8">
        <v>0</v>
      </c>
      <c r="F564" s="8">
        <v>0</v>
      </c>
      <c r="G564" s="8">
        <v>1.35135478549454</v>
      </c>
      <c r="H564" s="8">
        <v>0</v>
      </c>
      <c r="I564" s="8">
        <v>0</v>
      </c>
      <c r="J564" s="8">
        <v>0</v>
      </c>
      <c r="K564" s="8">
        <v>2.07870484173545</v>
      </c>
      <c r="L564" s="8">
        <v>1.4163862602195</v>
      </c>
      <c r="M564" s="8">
        <v>2.24830915114819</v>
      </c>
      <c r="N564" s="11"/>
      <c r="O564" s="11"/>
      <c r="P564" s="11"/>
      <c r="Q564" s="11"/>
    </row>
    <row r="565" spans="1:17">
      <c r="A565" s="8" t="s">
        <v>229</v>
      </c>
      <c r="B565" s="8" t="s">
        <v>200</v>
      </c>
      <c r="C565" s="8" t="s">
        <v>98</v>
      </c>
      <c r="D565" s="8">
        <v>0</v>
      </c>
      <c r="E565" s="8">
        <v>5.09236506486033</v>
      </c>
      <c r="F565" s="8">
        <v>0</v>
      </c>
      <c r="G565" s="8">
        <v>3.03820855625026</v>
      </c>
      <c r="H565" s="8">
        <v>0</v>
      </c>
      <c r="I565" s="8">
        <v>0</v>
      </c>
      <c r="J565" s="8">
        <v>9.58175489725616</v>
      </c>
      <c r="K565" s="8">
        <v>7.34215145612841</v>
      </c>
      <c r="L565" s="8">
        <v>5.71570460387941</v>
      </c>
      <c r="M565" s="8">
        <v>0</v>
      </c>
      <c r="N565" s="11"/>
      <c r="O565" s="11"/>
      <c r="P565" s="11"/>
      <c r="Q565" s="11"/>
    </row>
    <row r="566" spans="1:17">
      <c r="A566" s="8" t="s">
        <v>229</v>
      </c>
      <c r="B566" s="8" t="s">
        <v>200</v>
      </c>
      <c r="C566" s="8" t="s">
        <v>95</v>
      </c>
      <c r="D566" s="8">
        <v>0</v>
      </c>
      <c r="E566" s="8">
        <v>1.02843334778973</v>
      </c>
      <c r="F566" s="8">
        <v>0</v>
      </c>
      <c r="G566" s="8">
        <v>2.84346648598936</v>
      </c>
      <c r="H566" s="8">
        <v>0</v>
      </c>
      <c r="I566" s="8">
        <v>0</v>
      </c>
      <c r="J566" s="8">
        <v>0</v>
      </c>
      <c r="K566" s="8">
        <v>3.64597883086706</v>
      </c>
      <c r="L566" s="8">
        <v>1.11798091377748</v>
      </c>
      <c r="M566" s="8">
        <v>1.14781007542758</v>
      </c>
      <c r="N566" s="11"/>
      <c r="O566" s="11"/>
      <c r="P566" s="11"/>
      <c r="Q566" s="11"/>
    </row>
    <row r="567" spans="1:17">
      <c r="A567" s="8" t="s">
        <v>229</v>
      </c>
      <c r="B567" s="8" t="s">
        <v>200</v>
      </c>
      <c r="C567" s="8" t="s">
        <v>93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11"/>
      <c r="O567" s="11"/>
      <c r="P567" s="11"/>
      <c r="Q567" s="11"/>
    </row>
    <row r="568" spans="1:17">
      <c r="A568" s="8" t="s">
        <v>229</v>
      </c>
      <c r="B568" s="8" t="s">
        <v>200</v>
      </c>
      <c r="C568" s="8" t="s">
        <v>96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11"/>
      <c r="O568" s="11"/>
      <c r="P568" s="11"/>
      <c r="Q568" s="11"/>
    </row>
    <row r="569" spans="1:17">
      <c r="A569" s="8" t="s">
        <v>229</v>
      </c>
      <c r="B569" s="8" t="s">
        <v>200</v>
      </c>
      <c r="C569" s="8" t="s">
        <v>94</v>
      </c>
      <c r="D569" s="8">
        <v>0</v>
      </c>
      <c r="E569" s="8">
        <v>0</v>
      </c>
      <c r="F569" s="8">
        <v>0</v>
      </c>
      <c r="G569" s="8">
        <v>2.10313358623515</v>
      </c>
      <c r="H569" s="8">
        <v>0</v>
      </c>
      <c r="I569" s="8">
        <v>0.848558957858374</v>
      </c>
      <c r="J569" s="8">
        <v>0</v>
      </c>
      <c r="K569" s="8">
        <v>3.76133602645148</v>
      </c>
      <c r="L569" s="8">
        <v>1.21610793202369</v>
      </c>
      <c r="M569" s="8">
        <v>0.688578127202428</v>
      </c>
      <c r="N569" s="11"/>
      <c r="O569" s="11"/>
      <c r="P569" s="11"/>
      <c r="Q569" s="11"/>
    </row>
    <row r="570" spans="1:17">
      <c r="A570" s="8" t="s">
        <v>229</v>
      </c>
      <c r="B570" s="8" t="s">
        <v>201</v>
      </c>
      <c r="C570" s="8" t="s">
        <v>202</v>
      </c>
      <c r="D570" s="8">
        <v>0</v>
      </c>
      <c r="E570" s="8">
        <v>0</v>
      </c>
      <c r="F570" s="8">
        <v>0</v>
      </c>
      <c r="G570" s="8">
        <v>6.10449570049747</v>
      </c>
      <c r="H570" s="8">
        <v>0</v>
      </c>
      <c r="I570" s="8">
        <v>0</v>
      </c>
      <c r="J570" s="8">
        <v>8.6450341116016</v>
      </c>
      <c r="K570" s="8">
        <v>7.24098585294196</v>
      </c>
      <c r="L570" s="8">
        <v>2.83392554764516</v>
      </c>
      <c r="M570" s="8">
        <v>24.8703333830838</v>
      </c>
      <c r="N570" s="11"/>
      <c r="O570" s="11"/>
      <c r="P570" s="11"/>
      <c r="Q570" s="11"/>
    </row>
    <row r="571" spans="1:17">
      <c r="A571" s="11"/>
      <c r="B571" s="11"/>
      <c r="C571" s="11"/>
      <c r="D571" s="2" t="s">
        <v>185</v>
      </c>
      <c r="E571" s="3"/>
      <c r="F571" s="3"/>
      <c r="G571" s="3"/>
      <c r="H571" s="4"/>
      <c r="I571" s="5" t="s">
        <v>186</v>
      </c>
      <c r="J571" s="6"/>
      <c r="K571" s="6"/>
      <c r="L571" s="6"/>
      <c r="M571" s="7"/>
      <c r="N571" s="8" t="s">
        <v>203</v>
      </c>
      <c r="O571" s="8" t="s">
        <v>203</v>
      </c>
      <c r="P571" s="8" t="s">
        <v>248</v>
      </c>
      <c r="Q571" s="8" t="s">
        <v>248</v>
      </c>
    </row>
    <row r="572" spans="1:17">
      <c r="A572" s="11"/>
      <c r="B572" s="8" t="s">
        <v>229</v>
      </c>
      <c r="C572" s="8" t="s">
        <v>37</v>
      </c>
      <c r="D572" s="8">
        <f t="shared" ref="D572:M572" si="220">SUM(D556:D562)</f>
        <v>0</v>
      </c>
      <c r="E572" s="8">
        <f t="shared" si="220"/>
        <v>0</v>
      </c>
      <c r="F572" s="8">
        <f t="shared" si="220"/>
        <v>0</v>
      </c>
      <c r="G572" s="8">
        <f t="shared" si="220"/>
        <v>0</v>
      </c>
      <c r="H572" s="8">
        <f t="shared" si="220"/>
        <v>0</v>
      </c>
      <c r="I572" s="8">
        <f t="shared" si="220"/>
        <v>0</v>
      </c>
      <c r="J572" s="8">
        <f t="shared" si="220"/>
        <v>0</v>
      </c>
      <c r="K572" s="8">
        <f t="shared" si="220"/>
        <v>0</v>
      </c>
      <c r="L572" s="8">
        <f t="shared" si="220"/>
        <v>0</v>
      </c>
      <c r="M572" s="8">
        <f t="shared" si="220"/>
        <v>0</v>
      </c>
      <c r="N572" s="8">
        <f t="shared" ref="N572:N574" si="221">AVERAGE(D572:H572)</f>
        <v>0</v>
      </c>
      <c r="O572" s="8">
        <f t="shared" ref="O572:O574" si="222">AVERAGE(I572:M572)</f>
        <v>0</v>
      </c>
      <c r="P572" s="8">
        <f t="shared" ref="P572:P574" si="223">LOG(N572+1,2)</f>
        <v>0</v>
      </c>
      <c r="Q572" s="8">
        <f t="shared" ref="Q572:Q574" si="224">LOG(O572+1,2)</f>
        <v>0</v>
      </c>
    </row>
    <row r="573" spans="1:17">
      <c r="A573" s="11"/>
      <c r="B573" s="8" t="s">
        <v>229</v>
      </c>
      <c r="C573" s="8" t="s">
        <v>36</v>
      </c>
      <c r="D573" s="8">
        <f t="shared" ref="D573:M573" si="225">D563</f>
        <v>0</v>
      </c>
      <c r="E573" s="8">
        <f t="shared" si="225"/>
        <v>0</v>
      </c>
      <c r="F573" s="8">
        <f t="shared" si="225"/>
        <v>0</v>
      </c>
      <c r="G573" s="8">
        <f t="shared" si="225"/>
        <v>0</v>
      </c>
      <c r="H573" s="8">
        <f t="shared" si="225"/>
        <v>0</v>
      </c>
      <c r="I573" s="8">
        <f t="shared" si="225"/>
        <v>0</v>
      </c>
      <c r="J573" s="8">
        <f t="shared" si="225"/>
        <v>0</v>
      </c>
      <c r="K573" s="8">
        <f t="shared" si="225"/>
        <v>0</v>
      </c>
      <c r="L573" s="8">
        <f t="shared" si="225"/>
        <v>0</v>
      </c>
      <c r="M573" s="8">
        <f t="shared" si="225"/>
        <v>0</v>
      </c>
      <c r="N573" s="8">
        <f t="shared" si="221"/>
        <v>0</v>
      </c>
      <c r="O573" s="8">
        <f t="shared" si="222"/>
        <v>0</v>
      </c>
      <c r="P573" s="8">
        <f t="shared" si="223"/>
        <v>0</v>
      </c>
      <c r="Q573" s="8">
        <f t="shared" si="224"/>
        <v>0</v>
      </c>
    </row>
    <row r="574" spans="1:17">
      <c r="A574" s="11"/>
      <c r="B574" s="8" t="s">
        <v>229</v>
      </c>
      <c r="C574" s="8" t="s">
        <v>35</v>
      </c>
      <c r="D574" s="8">
        <f t="shared" ref="D574:M574" si="226">SUM(D564:D570)</f>
        <v>0</v>
      </c>
      <c r="E574" s="8">
        <f t="shared" si="226"/>
        <v>6.12079841265006</v>
      </c>
      <c r="F574" s="8">
        <f t="shared" si="226"/>
        <v>0</v>
      </c>
      <c r="G574" s="8">
        <f t="shared" si="226"/>
        <v>15.4406591144668</v>
      </c>
      <c r="H574" s="8">
        <f t="shared" si="226"/>
        <v>0</v>
      </c>
      <c r="I574" s="8">
        <f t="shared" si="226"/>
        <v>0.848558957858374</v>
      </c>
      <c r="J574" s="8">
        <f t="shared" si="226"/>
        <v>18.2267890088578</v>
      </c>
      <c r="K574" s="8">
        <f t="shared" si="226"/>
        <v>24.0691570081243</v>
      </c>
      <c r="L574" s="8">
        <f t="shared" si="226"/>
        <v>12.3001052575452</v>
      </c>
      <c r="M574" s="8">
        <f t="shared" si="226"/>
        <v>28.955030736862</v>
      </c>
      <c r="N574" s="8">
        <f t="shared" si="221"/>
        <v>4.31229150542337</v>
      </c>
      <c r="O574" s="8">
        <f t="shared" si="222"/>
        <v>16.8799281938496</v>
      </c>
      <c r="P574" s="8">
        <f t="shared" si="223"/>
        <v>2.40933431496228</v>
      </c>
      <c r="Q574" s="8">
        <f t="shared" si="224"/>
        <v>4.16026903752799</v>
      </c>
    </row>
    <row r="575" spans="1:1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8"/>
      <c r="O575" s="8"/>
      <c r="P575" s="11"/>
      <c r="Q575" s="11"/>
    </row>
    <row r="576" spans="1:17">
      <c r="A576" s="11"/>
      <c r="B576" s="8" t="s">
        <v>229</v>
      </c>
      <c r="C576" s="8" t="s">
        <v>37</v>
      </c>
      <c r="D576" s="8">
        <f t="shared" ref="D576:M576" si="227">LOG(D572+1,2)</f>
        <v>0</v>
      </c>
      <c r="E576" s="8">
        <f t="shared" si="227"/>
        <v>0</v>
      </c>
      <c r="F576" s="8">
        <f t="shared" si="227"/>
        <v>0</v>
      </c>
      <c r="G576" s="8">
        <f t="shared" si="227"/>
        <v>0</v>
      </c>
      <c r="H576" s="8">
        <f t="shared" si="227"/>
        <v>0</v>
      </c>
      <c r="I576" s="8">
        <f t="shared" si="227"/>
        <v>0</v>
      </c>
      <c r="J576" s="8">
        <f t="shared" si="227"/>
        <v>0</v>
      </c>
      <c r="K576" s="8">
        <f t="shared" si="227"/>
        <v>0</v>
      </c>
      <c r="L576" s="8">
        <f t="shared" si="227"/>
        <v>0</v>
      </c>
      <c r="M576" s="15">
        <f t="shared" si="227"/>
        <v>0</v>
      </c>
      <c r="N576" s="8"/>
      <c r="O576" s="8"/>
      <c r="P576" s="11"/>
      <c r="Q576" s="11"/>
    </row>
    <row r="577" spans="1:17">
      <c r="A577" s="11"/>
      <c r="B577" s="8" t="s">
        <v>229</v>
      </c>
      <c r="C577" s="8" t="s">
        <v>36</v>
      </c>
      <c r="D577" s="8">
        <f t="shared" ref="D577:M577" si="228">LOG(D573+1,2)</f>
        <v>0</v>
      </c>
      <c r="E577" s="8">
        <f t="shared" si="228"/>
        <v>0</v>
      </c>
      <c r="F577" s="8">
        <f t="shared" si="228"/>
        <v>0</v>
      </c>
      <c r="G577" s="8">
        <f t="shared" si="228"/>
        <v>0</v>
      </c>
      <c r="H577" s="8">
        <f t="shared" si="228"/>
        <v>0</v>
      </c>
      <c r="I577" s="8">
        <f t="shared" si="228"/>
        <v>0</v>
      </c>
      <c r="J577" s="8">
        <f t="shared" si="228"/>
        <v>0</v>
      </c>
      <c r="K577" s="8">
        <f t="shared" si="228"/>
        <v>0</v>
      </c>
      <c r="L577" s="8">
        <f t="shared" si="228"/>
        <v>0</v>
      </c>
      <c r="M577" s="15">
        <f t="shared" si="228"/>
        <v>0</v>
      </c>
      <c r="N577" s="8"/>
      <c r="O577" s="8"/>
      <c r="P577" s="11"/>
      <c r="Q577" s="11"/>
    </row>
    <row r="578" spans="1:17">
      <c r="A578" s="11"/>
      <c r="B578" s="8" t="s">
        <v>229</v>
      </c>
      <c r="C578" s="8" t="s">
        <v>35</v>
      </c>
      <c r="D578" s="8">
        <f t="shared" ref="D578:M578" si="229">LOG(D574+1,2)</f>
        <v>0</v>
      </c>
      <c r="E578" s="8">
        <f t="shared" si="229"/>
        <v>2.83203901105017</v>
      </c>
      <c r="F578" s="8">
        <f t="shared" si="229"/>
        <v>0</v>
      </c>
      <c r="G578" s="8">
        <f t="shared" si="229"/>
        <v>4.03919623345144</v>
      </c>
      <c r="H578" s="8">
        <f t="shared" si="229"/>
        <v>0</v>
      </c>
      <c r="I578" s="8">
        <f t="shared" si="229"/>
        <v>0.88640105751134</v>
      </c>
      <c r="J578" s="8">
        <f t="shared" si="229"/>
        <v>4.26504593880272</v>
      </c>
      <c r="K578" s="8">
        <f t="shared" si="229"/>
        <v>4.6478415788675</v>
      </c>
      <c r="L578" s="8">
        <f t="shared" si="229"/>
        <v>3.73336575820312</v>
      </c>
      <c r="M578" s="15">
        <f t="shared" si="229"/>
        <v>4.90472640874078</v>
      </c>
      <c r="N578" s="8"/>
      <c r="O578" s="8"/>
      <c r="P578" s="11"/>
      <c r="Q578" s="11"/>
    </row>
    <row r="579" spans="1:1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>
      <c r="A581" s="8" t="s">
        <v>232</v>
      </c>
      <c r="B581" s="8" t="s">
        <v>188</v>
      </c>
      <c r="C581" s="8" t="s">
        <v>189</v>
      </c>
      <c r="D581" s="8">
        <v>0</v>
      </c>
      <c r="E581" s="8">
        <v>0</v>
      </c>
      <c r="F581" s="8">
        <v>0</v>
      </c>
      <c r="G581" s="8">
        <v>36.1641495090869</v>
      </c>
      <c r="H581" s="8">
        <v>0</v>
      </c>
      <c r="I581" s="8">
        <v>0</v>
      </c>
      <c r="J581" s="8">
        <v>0</v>
      </c>
      <c r="K581" s="8">
        <v>0</v>
      </c>
      <c r="L581" s="8">
        <v>2.82631877003157</v>
      </c>
      <c r="M581" s="8">
        <v>0</v>
      </c>
      <c r="N581" s="11"/>
      <c r="O581" s="11"/>
      <c r="P581" s="11"/>
      <c r="Q581" s="11"/>
    </row>
    <row r="582" spans="1:17">
      <c r="A582" s="8" t="s">
        <v>232</v>
      </c>
      <c r="B582" s="8" t="s">
        <v>190</v>
      </c>
      <c r="C582" s="8" t="s">
        <v>191</v>
      </c>
      <c r="D582" s="8">
        <v>0</v>
      </c>
      <c r="E582" s="8">
        <v>5.80635057207353</v>
      </c>
      <c r="F582" s="8">
        <v>0</v>
      </c>
      <c r="G582" s="8">
        <v>12.5228037038086</v>
      </c>
      <c r="H582" s="8">
        <v>0</v>
      </c>
      <c r="I582" s="8">
        <v>0</v>
      </c>
      <c r="J582" s="8">
        <v>0</v>
      </c>
      <c r="K582" s="8">
        <v>0</v>
      </c>
      <c r="L582" s="8">
        <v>74.6611539810237</v>
      </c>
      <c r="M582" s="8">
        <v>0</v>
      </c>
      <c r="N582" s="11"/>
      <c r="O582" s="11"/>
      <c r="P582" s="11"/>
      <c r="Q582" s="11"/>
    </row>
    <row r="583" spans="1:17">
      <c r="A583" s="8" t="s">
        <v>232</v>
      </c>
      <c r="B583" s="8" t="s">
        <v>192</v>
      </c>
      <c r="C583" s="8" t="s">
        <v>193</v>
      </c>
      <c r="D583" s="8">
        <v>0</v>
      </c>
      <c r="E583" s="8">
        <v>0</v>
      </c>
      <c r="F583" s="8">
        <v>0</v>
      </c>
      <c r="G583" s="8">
        <v>71.6973784520246</v>
      </c>
      <c r="H583" s="8">
        <v>0</v>
      </c>
      <c r="I583" s="8">
        <v>0</v>
      </c>
      <c r="J583" s="8">
        <v>0</v>
      </c>
      <c r="K583" s="8">
        <v>0</v>
      </c>
      <c r="L583" s="8">
        <v>6.92128143311005</v>
      </c>
      <c r="M583" s="8">
        <v>16.5336676308473</v>
      </c>
      <c r="N583" s="11"/>
      <c r="O583" s="11"/>
      <c r="P583" s="11"/>
      <c r="Q583" s="11"/>
    </row>
    <row r="584" spans="1:17">
      <c r="A584" s="8" t="s">
        <v>232</v>
      </c>
      <c r="B584" s="8" t="s">
        <v>192</v>
      </c>
      <c r="C584" s="8" t="s">
        <v>194</v>
      </c>
      <c r="D584" s="8">
        <v>0</v>
      </c>
      <c r="E584" s="8">
        <v>3.1290963289481</v>
      </c>
      <c r="F584" s="8">
        <v>0</v>
      </c>
      <c r="G584" s="8">
        <v>22.8046174478249</v>
      </c>
      <c r="H584" s="8">
        <v>0</v>
      </c>
      <c r="I584" s="8">
        <v>0</v>
      </c>
      <c r="J584" s="8">
        <v>0</v>
      </c>
      <c r="K584" s="8">
        <v>0</v>
      </c>
      <c r="L584" s="8">
        <v>16.0940226643444</v>
      </c>
      <c r="M584" s="8">
        <v>0</v>
      </c>
      <c r="N584" s="11"/>
      <c r="O584" s="11"/>
      <c r="P584" s="11"/>
      <c r="Q584" s="11"/>
    </row>
    <row r="585" spans="1:17">
      <c r="A585" s="8" t="s">
        <v>232</v>
      </c>
      <c r="B585" s="8" t="s">
        <v>195</v>
      </c>
      <c r="C585" s="8" t="s">
        <v>196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11"/>
      <c r="O585" s="11"/>
      <c r="P585" s="11"/>
      <c r="Q585" s="11"/>
    </row>
    <row r="586" spans="1:17">
      <c r="A586" s="8" t="s">
        <v>232</v>
      </c>
      <c r="B586" s="8" t="s">
        <v>195</v>
      </c>
      <c r="C586" s="8" t="s">
        <v>197</v>
      </c>
      <c r="D586" s="8">
        <v>0</v>
      </c>
      <c r="E586" s="8">
        <v>0</v>
      </c>
      <c r="F586" s="8">
        <v>0</v>
      </c>
      <c r="G586" s="8">
        <v>0.441866179945494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11"/>
      <c r="O586" s="11"/>
      <c r="P586" s="11"/>
      <c r="Q586" s="11"/>
    </row>
    <row r="587" spans="1:17">
      <c r="A587" s="8" t="s">
        <v>232</v>
      </c>
      <c r="B587" s="8" t="s">
        <v>198</v>
      </c>
      <c r="C587" s="8" t="s">
        <v>199</v>
      </c>
      <c r="D587" s="8">
        <v>0</v>
      </c>
      <c r="E587" s="8">
        <v>0</v>
      </c>
      <c r="F587" s="8">
        <v>0</v>
      </c>
      <c r="G587" s="8">
        <v>76.8004131067382</v>
      </c>
      <c r="H587" s="8">
        <v>0</v>
      </c>
      <c r="I587" s="8">
        <v>2.72598256682346</v>
      </c>
      <c r="J587" s="8">
        <v>0</v>
      </c>
      <c r="K587" s="8">
        <v>0</v>
      </c>
      <c r="L587" s="8">
        <v>17.6725035358168</v>
      </c>
      <c r="M587" s="8">
        <v>17.2223302689539</v>
      </c>
      <c r="N587" s="11"/>
      <c r="O587" s="11"/>
      <c r="P587" s="11"/>
      <c r="Q587" s="11"/>
    </row>
    <row r="588" spans="1:17">
      <c r="A588" s="8" t="s">
        <v>232</v>
      </c>
      <c r="B588" s="8" t="s">
        <v>36</v>
      </c>
      <c r="C588" s="8" t="s">
        <v>130</v>
      </c>
      <c r="D588" s="8">
        <v>1.87366941590491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13.8589657662076</v>
      </c>
      <c r="K588" s="8">
        <v>0</v>
      </c>
      <c r="L588" s="8">
        <v>0</v>
      </c>
      <c r="M588" s="8">
        <v>0</v>
      </c>
      <c r="N588" s="11"/>
      <c r="O588" s="11"/>
      <c r="P588" s="11"/>
      <c r="Q588" s="11"/>
    </row>
    <row r="589" spans="1:17">
      <c r="A589" s="8" t="s">
        <v>232</v>
      </c>
      <c r="B589" s="8" t="s">
        <v>200</v>
      </c>
      <c r="C589" s="8" t="s">
        <v>97</v>
      </c>
      <c r="D589" s="8">
        <v>0</v>
      </c>
      <c r="E589" s="8">
        <v>0</v>
      </c>
      <c r="F589" s="8">
        <v>0</v>
      </c>
      <c r="G589" s="8">
        <v>3.02519775058944</v>
      </c>
      <c r="H589" s="8">
        <v>0</v>
      </c>
      <c r="I589" s="8">
        <v>0</v>
      </c>
      <c r="J589" s="8">
        <v>0</v>
      </c>
      <c r="K589" s="8">
        <v>0</v>
      </c>
      <c r="L589" s="8">
        <v>15.7023083536208</v>
      </c>
      <c r="M589" s="8">
        <v>13.8404865140785</v>
      </c>
      <c r="N589" s="11"/>
      <c r="O589" s="11"/>
      <c r="P589" s="11"/>
      <c r="Q589" s="11"/>
    </row>
    <row r="590" spans="1:17">
      <c r="A590" s="8" t="s">
        <v>232</v>
      </c>
      <c r="B590" s="8" t="s">
        <v>200</v>
      </c>
      <c r="C590" s="8" t="s">
        <v>98</v>
      </c>
      <c r="D590" s="8">
        <v>0</v>
      </c>
      <c r="E590" s="8">
        <v>0</v>
      </c>
      <c r="F590" s="8">
        <v>0</v>
      </c>
      <c r="G590" s="8">
        <v>2.27833992342074</v>
      </c>
      <c r="H590" s="8">
        <v>0</v>
      </c>
      <c r="I590" s="8">
        <v>0</v>
      </c>
      <c r="J590" s="8">
        <v>7.77814724027404</v>
      </c>
      <c r="K590" s="8">
        <v>0</v>
      </c>
      <c r="L590" s="8">
        <v>64.5665786993091</v>
      </c>
      <c r="M590" s="8">
        <v>0</v>
      </c>
      <c r="N590" s="11"/>
      <c r="O590" s="11"/>
      <c r="P590" s="11"/>
      <c r="Q590" s="11"/>
    </row>
    <row r="591" spans="1:17">
      <c r="A591" s="8" t="s">
        <v>232</v>
      </c>
      <c r="B591" s="8" t="s">
        <v>200</v>
      </c>
      <c r="C591" s="8" t="s">
        <v>95</v>
      </c>
      <c r="D591" s="8">
        <v>0</v>
      </c>
      <c r="E591" s="8">
        <v>0</v>
      </c>
      <c r="F591" s="8">
        <v>0</v>
      </c>
      <c r="G591" s="8">
        <v>2.15475399147311</v>
      </c>
      <c r="H591" s="8">
        <v>2.14152935331622</v>
      </c>
      <c r="I591" s="8">
        <v>0</v>
      </c>
      <c r="J591" s="8">
        <v>0</v>
      </c>
      <c r="K591" s="8">
        <v>3.64869459793658</v>
      </c>
      <c r="L591" s="8">
        <v>6.34707280599251</v>
      </c>
      <c r="M591" s="8">
        <v>7.42544307178122</v>
      </c>
      <c r="N591" s="11"/>
      <c r="O591" s="11"/>
      <c r="P591" s="11"/>
      <c r="Q591" s="11"/>
    </row>
    <row r="592" spans="1:17">
      <c r="A592" s="8" t="s">
        <v>232</v>
      </c>
      <c r="B592" s="8" t="s">
        <v>200</v>
      </c>
      <c r="C592" s="8" t="s">
        <v>93</v>
      </c>
      <c r="D592" s="8">
        <v>0</v>
      </c>
      <c r="E592" s="8">
        <v>0</v>
      </c>
      <c r="F592" s="8">
        <v>2.67478955931106</v>
      </c>
      <c r="G592" s="8">
        <v>1.79902883155802</v>
      </c>
      <c r="H592" s="8">
        <v>2.09998604326588</v>
      </c>
      <c r="I592" s="8">
        <v>12.4641576822355</v>
      </c>
      <c r="J592" s="8">
        <v>0</v>
      </c>
      <c r="K592" s="8">
        <v>7.53889188087679</v>
      </c>
      <c r="L592" s="8">
        <v>3.37307659480643</v>
      </c>
      <c r="M592" s="8">
        <v>2.01967975751645</v>
      </c>
      <c r="N592" s="11"/>
      <c r="O592" s="11"/>
      <c r="P592" s="11"/>
      <c r="Q592" s="11"/>
    </row>
    <row r="593" spans="1:17">
      <c r="A593" s="8" t="s">
        <v>232</v>
      </c>
      <c r="B593" s="8" t="s">
        <v>200</v>
      </c>
      <c r="C593" s="8" t="s">
        <v>96</v>
      </c>
      <c r="D593" s="8">
        <v>0</v>
      </c>
      <c r="E593" s="8">
        <v>0</v>
      </c>
      <c r="F593" s="8">
        <v>0</v>
      </c>
      <c r="G593" s="8">
        <v>3.49203730265896</v>
      </c>
      <c r="H593" s="8">
        <v>0</v>
      </c>
      <c r="I593" s="8">
        <v>0</v>
      </c>
      <c r="J593" s="8">
        <v>0</v>
      </c>
      <c r="K593" s="8">
        <v>14.339048828176</v>
      </c>
      <c r="L593" s="8">
        <v>3.05532484990617</v>
      </c>
      <c r="M593" s="8">
        <v>20.9269872307209</v>
      </c>
      <c r="N593" s="11"/>
      <c r="O593" s="11"/>
      <c r="P593" s="11"/>
      <c r="Q593" s="11"/>
    </row>
    <row r="594" spans="1:17">
      <c r="A594" s="8" t="s">
        <v>232</v>
      </c>
      <c r="B594" s="8" t="s">
        <v>200</v>
      </c>
      <c r="C594" s="8" t="s">
        <v>94</v>
      </c>
      <c r="D594" s="8">
        <v>0</v>
      </c>
      <c r="E594" s="8">
        <v>0</v>
      </c>
      <c r="F594" s="8">
        <v>5.8252270360944</v>
      </c>
      <c r="G594" s="8">
        <v>0.59307350435358</v>
      </c>
      <c r="H594" s="8">
        <v>0</v>
      </c>
      <c r="I594" s="8">
        <v>4.72526763833355</v>
      </c>
      <c r="J594" s="8">
        <v>0</v>
      </c>
      <c r="K594" s="8">
        <v>0</v>
      </c>
      <c r="L594" s="8">
        <v>5.50324779410391</v>
      </c>
      <c r="M594" s="8">
        <v>8.99575104738128</v>
      </c>
      <c r="N594" s="11"/>
      <c r="O594" s="11"/>
      <c r="P594" s="11"/>
      <c r="Q594" s="11"/>
    </row>
    <row r="595" spans="1:17">
      <c r="A595" s="8" t="s">
        <v>232</v>
      </c>
      <c r="B595" s="8" t="s">
        <v>201</v>
      </c>
      <c r="C595" s="8" t="s">
        <v>202</v>
      </c>
      <c r="D595" s="8">
        <v>0</v>
      </c>
      <c r="E595" s="8">
        <v>0</v>
      </c>
      <c r="F595" s="8">
        <v>4.69562931516093</v>
      </c>
      <c r="G595" s="8">
        <v>9.25849019089707</v>
      </c>
      <c r="H595" s="8">
        <v>0</v>
      </c>
      <c r="I595" s="8">
        <v>0</v>
      </c>
      <c r="J595" s="8">
        <v>0</v>
      </c>
      <c r="K595" s="8">
        <v>5.43215478347843</v>
      </c>
      <c r="L595" s="8">
        <v>38.6037028114442</v>
      </c>
      <c r="M595" s="8">
        <v>39.3383065456511</v>
      </c>
      <c r="N595" s="11"/>
      <c r="O595" s="11"/>
      <c r="P595" s="11"/>
      <c r="Q595" s="11"/>
    </row>
    <row r="596" spans="1:17">
      <c r="A596" s="11"/>
      <c r="B596" s="11"/>
      <c r="C596" s="11"/>
      <c r="D596" s="2" t="s">
        <v>185</v>
      </c>
      <c r="E596" s="3"/>
      <c r="F596" s="3"/>
      <c r="G596" s="3"/>
      <c r="H596" s="4"/>
      <c r="I596" s="5" t="s">
        <v>186</v>
      </c>
      <c r="J596" s="6"/>
      <c r="K596" s="6"/>
      <c r="L596" s="6"/>
      <c r="M596" s="7"/>
      <c r="N596" s="8" t="s">
        <v>203</v>
      </c>
      <c r="O596" s="8" t="s">
        <v>203</v>
      </c>
      <c r="P596" s="8" t="s">
        <v>248</v>
      </c>
      <c r="Q596" s="8" t="s">
        <v>248</v>
      </c>
    </row>
    <row r="597" spans="1:17">
      <c r="A597" s="11"/>
      <c r="B597" s="8" t="s">
        <v>232</v>
      </c>
      <c r="C597" s="8" t="s">
        <v>37</v>
      </c>
      <c r="D597" s="8">
        <f t="shared" ref="D597:M597" si="230">SUM(D581:D587)</f>
        <v>0</v>
      </c>
      <c r="E597" s="8">
        <f t="shared" si="230"/>
        <v>8.93544690102163</v>
      </c>
      <c r="F597" s="8">
        <f t="shared" si="230"/>
        <v>0</v>
      </c>
      <c r="G597" s="8">
        <f t="shared" si="230"/>
        <v>220.431228399429</v>
      </c>
      <c r="H597" s="8">
        <f t="shared" si="230"/>
        <v>0</v>
      </c>
      <c r="I597" s="8">
        <f t="shared" si="230"/>
        <v>2.72598256682346</v>
      </c>
      <c r="J597" s="8">
        <f t="shared" si="230"/>
        <v>0</v>
      </c>
      <c r="K597" s="8">
        <f t="shared" si="230"/>
        <v>0</v>
      </c>
      <c r="L597" s="8">
        <f t="shared" si="230"/>
        <v>118.175280384326</v>
      </c>
      <c r="M597" s="8">
        <f t="shared" si="230"/>
        <v>33.7559978998012</v>
      </c>
      <c r="N597" s="8">
        <f t="shared" ref="N597:N599" si="231">AVERAGE(D597:H597)</f>
        <v>45.8733350600901</v>
      </c>
      <c r="O597" s="8">
        <f t="shared" ref="O597:O599" si="232">AVERAGE(I597:M597)</f>
        <v>30.9314521701902</v>
      </c>
      <c r="P597" s="8">
        <f t="shared" ref="P597:P599" si="233">LOG(N597+1,2)</f>
        <v>5.55069554179475</v>
      </c>
      <c r="Q597" s="8">
        <f t="shared" ref="Q597:Q599" si="234">LOG(O597+1,2)</f>
        <v>4.99690625979325</v>
      </c>
    </row>
    <row r="598" spans="1:17">
      <c r="A598" s="11"/>
      <c r="B598" s="8" t="s">
        <v>232</v>
      </c>
      <c r="C598" s="8" t="s">
        <v>36</v>
      </c>
      <c r="D598" s="8">
        <f t="shared" ref="D598:M598" si="235">D588</f>
        <v>1.87366941590491</v>
      </c>
      <c r="E598" s="8">
        <f t="shared" si="235"/>
        <v>0</v>
      </c>
      <c r="F598" s="8">
        <f t="shared" si="235"/>
        <v>0</v>
      </c>
      <c r="G598" s="8">
        <f t="shared" si="235"/>
        <v>0</v>
      </c>
      <c r="H598" s="8">
        <f t="shared" si="235"/>
        <v>0</v>
      </c>
      <c r="I598" s="8">
        <f t="shared" si="235"/>
        <v>0</v>
      </c>
      <c r="J598" s="8">
        <f t="shared" si="235"/>
        <v>13.8589657662076</v>
      </c>
      <c r="K598" s="8">
        <f t="shared" si="235"/>
        <v>0</v>
      </c>
      <c r="L598" s="8">
        <f t="shared" si="235"/>
        <v>0</v>
      </c>
      <c r="M598" s="8">
        <f t="shared" si="235"/>
        <v>0</v>
      </c>
      <c r="N598" s="8">
        <f t="shared" si="231"/>
        <v>0.374733883180981</v>
      </c>
      <c r="O598" s="8">
        <f t="shared" si="232"/>
        <v>2.77179315324152</v>
      </c>
      <c r="P598" s="8">
        <f t="shared" si="233"/>
        <v>0.459152373130201</v>
      </c>
      <c r="Q598" s="8">
        <f t="shared" si="234"/>
        <v>1.91525056016593</v>
      </c>
    </row>
    <row r="599" spans="1:17">
      <c r="A599" s="11"/>
      <c r="B599" s="8" t="s">
        <v>232</v>
      </c>
      <c r="C599" s="8" t="s">
        <v>35</v>
      </c>
      <c r="D599" s="8">
        <f t="shared" ref="D599:M599" si="236">SUM(D589:D595)</f>
        <v>0</v>
      </c>
      <c r="E599" s="8">
        <f t="shared" si="236"/>
        <v>0</v>
      </c>
      <c r="F599" s="8">
        <f t="shared" si="236"/>
        <v>13.1956459105664</v>
      </c>
      <c r="G599" s="8">
        <f t="shared" si="236"/>
        <v>22.6009214949509</v>
      </c>
      <c r="H599" s="8">
        <f t="shared" si="236"/>
        <v>4.2415153965821</v>
      </c>
      <c r="I599" s="8">
        <f t="shared" si="236"/>
        <v>17.189425320569</v>
      </c>
      <c r="J599" s="8">
        <f t="shared" si="236"/>
        <v>7.77814724027404</v>
      </c>
      <c r="K599" s="8">
        <f t="shared" si="236"/>
        <v>30.9587900904678</v>
      </c>
      <c r="L599" s="8">
        <f t="shared" si="236"/>
        <v>137.151311909183</v>
      </c>
      <c r="M599" s="8">
        <f t="shared" si="236"/>
        <v>92.5466541671295</v>
      </c>
      <c r="N599" s="8">
        <f t="shared" si="231"/>
        <v>8.00761656041988</v>
      </c>
      <c r="O599" s="8">
        <f t="shared" si="232"/>
        <v>57.1248657455247</v>
      </c>
      <c r="P599" s="8">
        <f t="shared" si="233"/>
        <v>3.17114541554484</v>
      </c>
      <c r="Q599" s="8">
        <f t="shared" si="234"/>
        <v>5.86108357372031</v>
      </c>
    </row>
    <row r="600" spans="1:1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8" t="s">
        <v>249</v>
      </c>
      <c r="O600" s="8" t="s">
        <v>250</v>
      </c>
      <c r="P600" s="11"/>
      <c r="Q600" s="11"/>
    </row>
    <row r="601" spans="1:17">
      <c r="A601" s="11"/>
      <c r="B601" s="8" t="s">
        <v>232</v>
      </c>
      <c r="C601" s="8" t="s">
        <v>37</v>
      </c>
      <c r="D601" s="8">
        <f t="shared" ref="D601:M601" si="237">LOG(D597+1,2)</f>
        <v>0</v>
      </c>
      <c r="E601" s="8">
        <f t="shared" si="237"/>
        <v>3.31258486202825</v>
      </c>
      <c r="F601" s="8">
        <f t="shared" si="237"/>
        <v>0</v>
      </c>
      <c r="G601" s="8">
        <f t="shared" si="237"/>
        <v>7.79071488921998</v>
      </c>
      <c r="H601" s="8">
        <f t="shared" si="237"/>
        <v>0</v>
      </c>
      <c r="I601" s="8">
        <f t="shared" si="237"/>
        <v>1.89762092419469</v>
      </c>
      <c r="J601" s="8">
        <f t="shared" si="237"/>
        <v>0</v>
      </c>
      <c r="K601" s="8">
        <f t="shared" si="237"/>
        <v>0</v>
      </c>
      <c r="L601" s="8">
        <f t="shared" si="237"/>
        <v>6.89694120942273</v>
      </c>
      <c r="M601" s="15">
        <f t="shared" si="237"/>
        <v>5.11919006246776</v>
      </c>
      <c r="N601" s="8"/>
      <c r="O601" s="8"/>
      <c r="P601" s="11"/>
      <c r="Q601" s="11"/>
    </row>
    <row r="602" spans="1:17">
      <c r="A602" s="11"/>
      <c r="B602" s="8" t="s">
        <v>232</v>
      </c>
      <c r="C602" s="8" t="s">
        <v>36</v>
      </c>
      <c r="D602" s="8">
        <f t="shared" ref="D602:M602" si="238">LOG(D598+1,2)</f>
        <v>1.52289410512634</v>
      </c>
      <c r="E602" s="8">
        <f t="shared" si="238"/>
        <v>0</v>
      </c>
      <c r="F602" s="8">
        <f t="shared" si="238"/>
        <v>0</v>
      </c>
      <c r="G602" s="8">
        <f t="shared" si="238"/>
        <v>0</v>
      </c>
      <c r="H602" s="8">
        <f t="shared" si="238"/>
        <v>0</v>
      </c>
      <c r="I602" s="8">
        <f t="shared" si="238"/>
        <v>0</v>
      </c>
      <c r="J602" s="8">
        <f t="shared" si="238"/>
        <v>3.89326179785073</v>
      </c>
      <c r="K602" s="8">
        <f t="shared" si="238"/>
        <v>0</v>
      </c>
      <c r="L602" s="8">
        <f t="shared" si="238"/>
        <v>0</v>
      </c>
      <c r="M602" s="15">
        <f t="shared" si="238"/>
        <v>0</v>
      </c>
      <c r="N602" s="8"/>
      <c r="O602" s="8"/>
      <c r="P602" s="11"/>
      <c r="Q602" s="11"/>
    </row>
    <row r="603" spans="1:17">
      <c r="A603" s="11"/>
      <c r="B603" s="8" t="s">
        <v>232</v>
      </c>
      <c r="C603" s="8" t="s">
        <v>35</v>
      </c>
      <c r="D603" s="8">
        <f t="shared" ref="D603:M603" si="239">LOG(D599+1,2)</f>
        <v>0</v>
      </c>
      <c r="E603" s="8">
        <f t="shared" si="239"/>
        <v>0</v>
      </c>
      <c r="F603" s="8">
        <f t="shared" si="239"/>
        <v>3.82737658894937</v>
      </c>
      <c r="G603" s="8">
        <f t="shared" si="239"/>
        <v>4.56077128541692</v>
      </c>
      <c r="H603" s="8">
        <f t="shared" si="239"/>
        <v>2.38998397570639</v>
      </c>
      <c r="I603" s="8">
        <f t="shared" si="239"/>
        <v>4.18502805787334</v>
      </c>
      <c r="J603" s="8">
        <f t="shared" si="239"/>
        <v>3.13391646944928</v>
      </c>
      <c r="K603" s="8">
        <f t="shared" si="239"/>
        <v>4.99814088602174</v>
      </c>
      <c r="L603" s="8">
        <f t="shared" si="239"/>
        <v>7.11010545207631</v>
      </c>
      <c r="M603" s="15">
        <f t="shared" si="239"/>
        <v>6.54761414917852</v>
      </c>
      <c r="N603" s="8">
        <v>0.03494</v>
      </c>
      <c r="O603" s="8" t="s">
        <v>251</v>
      </c>
      <c r="P603" s="11"/>
      <c r="Q603" s="11"/>
    </row>
    <row r="604" spans="1:1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>
      <c r="A606" s="20" t="s">
        <v>233</v>
      </c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11"/>
      <c r="O606" s="11"/>
      <c r="P606" s="11"/>
      <c r="Q606" s="11"/>
    </row>
    <row r="607" spans="1:17">
      <c r="A607" s="8" t="s">
        <v>234</v>
      </c>
      <c r="B607" s="8" t="s">
        <v>188</v>
      </c>
      <c r="C607" s="8" t="s">
        <v>189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11"/>
      <c r="O607" s="11"/>
      <c r="P607" s="11"/>
      <c r="Q607" s="11"/>
    </row>
    <row r="608" spans="1:17">
      <c r="A608" s="8" t="s">
        <v>234</v>
      </c>
      <c r="B608" s="8" t="s">
        <v>190</v>
      </c>
      <c r="C608" s="8" t="s">
        <v>191</v>
      </c>
      <c r="D608" s="8">
        <v>9.01415651826328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17.3108916357692</v>
      </c>
      <c r="K608" s="8">
        <v>0</v>
      </c>
      <c r="L608" s="8">
        <v>0</v>
      </c>
      <c r="M608" s="8">
        <v>0</v>
      </c>
      <c r="N608" s="11"/>
      <c r="O608" s="11"/>
      <c r="P608" s="11"/>
      <c r="Q608" s="11"/>
    </row>
    <row r="609" spans="1:17">
      <c r="A609" s="8" t="s">
        <v>234</v>
      </c>
      <c r="B609" s="8" t="s">
        <v>192</v>
      </c>
      <c r="C609" s="8" t="s">
        <v>193</v>
      </c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11"/>
      <c r="O609" s="11"/>
      <c r="P609" s="11"/>
      <c r="Q609" s="11"/>
    </row>
    <row r="610" spans="1:17">
      <c r="A610" s="8" t="s">
        <v>234</v>
      </c>
      <c r="B610" s="8" t="s">
        <v>192</v>
      </c>
      <c r="C610" s="8" t="s">
        <v>194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11"/>
      <c r="O610" s="11"/>
      <c r="P610" s="11"/>
      <c r="Q610" s="11"/>
    </row>
    <row r="611" spans="1:17">
      <c r="A611" s="8" t="s">
        <v>234</v>
      </c>
      <c r="B611" s="8" t="s">
        <v>195</v>
      </c>
      <c r="C611" s="8" t="s">
        <v>196</v>
      </c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11"/>
      <c r="O611" s="11"/>
      <c r="P611" s="11"/>
      <c r="Q611" s="11"/>
    </row>
    <row r="612" spans="1:17">
      <c r="A612" s="8" t="s">
        <v>234</v>
      </c>
      <c r="B612" s="8" t="s">
        <v>195</v>
      </c>
      <c r="C612" s="8" t="s">
        <v>197</v>
      </c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11"/>
      <c r="O612" s="11"/>
      <c r="P612" s="11"/>
      <c r="Q612" s="11"/>
    </row>
    <row r="613" spans="1:17">
      <c r="A613" s="8" t="s">
        <v>234</v>
      </c>
      <c r="B613" s="8" t="s">
        <v>198</v>
      </c>
      <c r="C613" s="8" t="s">
        <v>199</v>
      </c>
      <c r="D613" s="8">
        <v>2.28680051083534</v>
      </c>
      <c r="E613" s="8">
        <v>0</v>
      </c>
      <c r="F613" s="8">
        <v>0</v>
      </c>
      <c r="G613" s="8">
        <v>0</v>
      </c>
      <c r="H613" s="8">
        <v>0</v>
      </c>
      <c r="I613" s="8">
        <v>50.237524978795</v>
      </c>
      <c r="J613" s="8">
        <v>0</v>
      </c>
      <c r="K613" s="8">
        <v>0</v>
      </c>
      <c r="L613" s="8">
        <v>0</v>
      </c>
      <c r="M613" s="8">
        <v>0</v>
      </c>
      <c r="N613" s="11"/>
      <c r="O613" s="11"/>
      <c r="P613" s="11"/>
      <c r="Q613" s="11"/>
    </row>
    <row r="614" spans="1:17">
      <c r="A614" s="8" t="s">
        <v>234</v>
      </c>
      <c r="B614" s="8" t="s">
        <v>36</v>
      </c>
      <c r="C614" s="8" t="s">
        <v>130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11"/>
      <c r="O614" s="11"/>
      <c r="P614" s="11"/>
      <c r="Q614" s="11"/>
    </row>
    <row r="615" spans="1:17">
      <c r="A615" s="8" t="s">
        <v>234</v>
      </c>
      <c r="B615" s="8" t="s">
        <v>200</v>
      </c>
      <c r="C615" s="8" t="s">
        <v>97</v>
      </c>
      <c r="D615" s="8">
        <v>0</v>
      </c>
      <c r="E615" s="8">
        <v>47.1817434962537</v>
      </c>
      <c r="F615" s="8">
        <v>0</v>
      </c>
      <c r="G615" s="8">
        <v>0</v>
      </c>
      <c r="H615" s="8">
        <v>0</v>
      </c>
      <c r="I615" s="8">
        <v>53.8012133006383</v>
      </c>
      <c r="J615" s="8">
        <v>227.835402256018</v>
      </c>
      <c r="K615" s="8">
        <v>9.01901823882719</v>
      </c>
      <c r="L615" s="8">
        <v>22.2659033963711</v>
      </c>
      <c r="M615" s="8">
        <v>0</v>
      </c>
      <c r="N615" s="11"/>
      <c r="O615" s="11"/>
      <c r="P615" s="11"/>
      <c r="Q615" s="11"/>
    </row>
    <row r="616" spans="1:17">
      <c r="A616" s="8" t="s">
        <v>234</v>
      </c>
      <c r="B616" s="8" t="s">
        <v>200</v>
      </c>
      <c r="C616" s="8" t="s">
        <v>98</v>
      </c>
      <c r="D616" s="8">
        <v>0</v>
      </c>
      <c r="E616" s="8">
        <v>80.7147815197077</v>
      </c>
      <c r="F616" s="8">
        <v>0</v>
      </c>
      <c r="G616" s="8">
        <v>0</v>
      </c>
      <c r="H616" s="8">
        <v>0</v>
      </c>
      <c r="I616" s="8">
        <v>0</v>
      </c>
      <c r="J616" s="8">
        <v>136.008001945883</v>
      </c>
      <c r="K616" s="8">
        <v>36.0607421432502</v>
      </c>
      <c r="L616" s="8">
        <v>14.5785159152836</v>
      </c>
      <c r="M616" s="8">
        <v>0</v>
      </c>
      <c r="N616" s="11"/>
      <c r="O616" s="11"/>
      <c r="P616" s="11"/>
      <c r="Q616" s="11"/>
    </row>
    <row r="617" spans="1:17">
      <c r="A617" s="8" t="s">
        <v>234</v>
      </c>
      <c r="B617" s="8" t="s">
        <v>200</v>
      </c>
      <c r="C617" s="8" t="s">
        <v>95</v>
      </c>
      <c r="D617" s="8">
        <v>0</v>
      </c>
      <c r="E617" s="8">
        <v>57.3642832748698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22.7220257499054</v>
      </c>
      <c r="L617" s="8">
        <v>17.4058169235535</v>
      </c>
      <c r="M617" s="8">
        <v>0</v>
      </c>
      <c r="N617" s="11"/>
      <c r="O617" s="11"/>
      <c r="P617" s="11"/>
      <c r="Q617" s="11"/>
    </row>
    <row r="618" spans="1:17">
      <c r="A618" s="8" t="s">
        <v>234</v>
      </c>
      <c r="B618" s="8" t="s">
        <v>200</v>
      </c>
      <c r="C618" s="8" t="s">
        <v>93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11"/>
      <c r="O618" s="11"/>
      <c r="P618" s="11"/>
      <c r="Q618" s="11"/>
    </row>
    <row r="619" spans="1:17">
      <c r="A619" s="8" t="s">
        <v>234</v>
      </c>
      <c r="B619" s="8" t="s">
        <v>200</v>
      </c>
      <c r="C619" s="8" t="s">
        <v>96</v>
      </c>
      <c r="D619" s="8">
        <v>0</v>
      </c>
      <c r="E619" s="8">
        <v>69.3574334929749</v>
      </c>
      <c r="F619" s="8">
        <v>0</v>
      </c>
      <c r="G619" s="8">
        <v>0</v>
      </c>
      <c r="H619" s="8">
        <v>0</v>
      </c>
      <c r="I619" s="8">
        <v>9.62621461513758</v>
      </c>
      <c r="J619" s="8">
        <v>0</v>
      </c>
      <c r="K619" s="8">
        <v>18.7683531589966</v>
      </c>
      <c r="L619" s="8">
        <v>25.9758243450722</v>
      </c>
      <c r="M619" s="8">
        <v>0</v>
      </c>
      <c r="N619" s="11"/>
      <c r="O619" s="11"/>
      <c r="P619" s="11"/>
      <c r="Q619" s="11"/>
    </row>
    <row r="620" spans="1:17">
      <c r="A620" s="8" t="s">
        <v>234</v>
      </c>
      <c r="B620" s="8" t="s">
        <v>200</v>
      </c>
      <c r="C620" s="8" t="s">
        <v>94</v>
      </c>
      <c r="D620" s="8">
        <v>0</v>
      </c>
      <c r="E620" s="8">
        <v>9.98428554001708</v>
      </c>
      <c r="F620" s="8">
        <v>0</v>
      </c>
      <c r="G620" s="8">
        <v>0</v>
      </c>
      <c r="H620" s="8">
        <v>0</v>
      </c>
      <c r="I620" s="8">
        <v>4.27553467751809</v>
      </c>
      <c r="J620" s="8">
        <v>0</v>
      </c>
      <c r="K620" s="8">
        <v>24.4202256246841</v>
      </c>
      <c r="L620" s="8">
        <v>9.36709532748171</v>
      </c>
      <c r="M620" s="8">
        <v>0</v>
      </c>
      <c r="N620" s="11"/>
      <c r="O620" s="11"/>
      <c r="P620" s="11"/>
      <c r="Q620" s="11"/>
    </row>
    <row r="621" spans="1:17">
      <c r="A621" s="8" t="s">
        <v>234</v>
      </c>
      <c r="B621" s="8" t="s">
        <v>201</v>
      </c>
      <c r="C621" s="8" t="s">
        <v>202</v>
      </c>
      <c r="D621" s="8">
        <v>0</v>
      </c>
      <c r="E621" s="8">
        <v>29.6318657827464</v>
      </c>
      <c r="F621" s="8">
        <v>0</v>
      </c>
      <c r="G621" s="8">
        <v>18.406127889685</v>
      </c>
      <c r="H621" s="8">
        <v>0</v>
      </c>
      <c r="I621" s="8">
        <v>146.564741579378</v>
      </c>
      <c r="J621" s="8">
        <v>202.794430245043</v>
      </c>
      <c r="K621" s="8">
        <v>0</v>
      </c>
      <c r="L621" s="8">
        <v>17.8390344997449</v>
      </c>
      <c r="M621" s="8">
        <v>0</v>
      </c>
      <c r="N621" s="11"/>
      <c r="O621" s="11"/>
      <c r="P621" s="11"/>
      <c r="Q621" s="11"/>
    </row>
    <row r="622" spans="1:17">
      <c r="A622" s="11"/>
      <c r="B622" s="11"/>
      <c r="C622" s="11"/>
      <c r="D622" s="2" t="s">
        <v>185</v>
      </c>
      <c r="E622" s="3"/>
      <c r="F622" s="3"/>
      <c r="G622" s="3"/>
      <c r="H622" s="4"/>
      <c r="I622" s="5" t="s">
        <v>186</v>
      </c>
      <c r="J622" s="6"/>
      <c r="K622" s="6"/>
      <c r="L622" s="6"/>
      <c r="M622" s="7"/>
      <c r="N622" s="8" t="s">
        <v>203</v>
      </c>
      <c r="O622" s="8" t="s">
        <v>203</v>
      </c>
      <c r="P622" s="8" t="s">
        <v>248</v>
      </c>
      <c r="Q622" s="8" t="s">
        <v>248</v>
      </c>
    </row>
    <row r="623" spans="1:17">
      <c r="A623" s="11"/>
      <c r="B623" s="8" t="s">
        <v>234</v>
      </c>
      <c r="C623" s="8" t="s">
        <v>37</v>
      </c>
      <c r="D623" s="8">
        <f t="shared" ref="D623:M623" si="240">SUM(D607:D613)</f>
        <v>11.3009570290986</v>
      </c>
      <c r="E623" s="8">
        <f t="shared" si="240"/>
        <v>0</v>
      </c>
      <c r="F623" s="8">
        <f t="shared" si="240"/>
        <v>0</v>
      </c>
      <c r="G623" s="8">
        <f t="shared" si="240"/>
        <v>0</v>
      </c>
      <c r="H623" s="8">
        <f t="shared" si="240"/>
        <v>0</v>
      </c>
      <c r="I623" s="8">
        <f t="shared" si="240"/>
        <v>50.237524978795</v>
      </c>
      <c r="J623" s="8">
        <f t="shared" si="240"/>
        <v>17.3108916357692</v>
      </c>
      <c r="K623" s="8">
        <f t="shared" si="240"/>
        <v>0</v>
      </c>
      <c r="L623" s="8">
        <f t="shared" si="240"/>
        <v>0</v>
      </c>
      <c r="M623" s="8">
        <f t="shared" si="240"/>
        <v>0</v>
      </c>
      <c r="N623" s="8">
        <f t="shared" ref="N623:N625" si="241">AVERAGE(D623:H623)</f>
        <v>2.26019140581972</v>
      </c>
      <c r="O623" s="8">
        <f t="shared" ref="O623:O625" si="242">AVERAGE(I623:M623)</f>
        <v>13.5096833229128</v>
      </c>
      <c r="P623" s="8">
        <f t="shared" ref="P623:P625" si="243">LOG(N623+1,2)</f>
        <v>1.70495666756085</v>
      </c>
      <c r="Q623" s="8">
        <f t="shared" ref="Q623:Q625" si="244">LOG(O623+1,2)</f>
        <v>3.85894412749334</v>
      </c>
    </row>
    <row r="624" spans="1:17">
      <c r="A624" s="11"/>
      <c r="B624" s="8" t="s">
        <v>234</v>
      </c>
      <c r="C624" s="8" t="s">
        <v>36</v>
      </c>
      <c r="D624" s="8">
        <f t="shared" ref="D624:M624" si="245">D614</f>
        <v>0</v>
      </c>
      <c r="E624" s="8">
        <f t="shared" si="245"/>
        <v>0</v>
      </c>
      <c r="F624" s="8">
        <f t="shared" si="245"/>
        <v>0</v>
      </c>
      <c r="G624" s="8">
        <f t="shared" si="245"/>
        <v>0</v>
      </c>
      <c r="H624" s="8">
        <f t="shared" si="245"/>
        <v>0</v>
      </c>
      <c r="I624" s="8">
        <f t="shared" si="245"/>
        <v>0</v>
      </c>
      <c r="J624" s="8">
        <f t="shared" si="245"/>
        <v>0</v>
      </c>
      <c r="K624" s="8">
        <f t="shared" si="245"/>
        <v>0</v>
      </c>
      <c r="L624" s="8">
        <f t="shared" si="245"/>
        <v>0</v>
      </c>
      <c r="M624" s="8">
        <f t="shared" si="245"/>
        <v>0</v>
      </c>
      <c r="N624" s="8">
        <f t="shared" si="241"/>
        <v>0</v>
      </c>
      <c r="O624" s="8">
        <f t="shared" si="242"/>
        <v>0</v>
      </c>
      <c r="P624" s="8">
        <f t="shared" si="243"/>
        <v>0</v>
      </c>
      <c r="Q624" s="8">
        <f t="shared" si="244"/>
        <v>0</v>
      </c>
    </row>
    <row r="625" spans="1:17">
      <c r="A625" s="11"/>
      <c r="B625" s="8" t="s">
        <v>234</v>
      </c>
      <c r="C625" s="8" t="s">
        <v>35</v>
      </c>
      <c r="D625" s="8">
        <f t="shared" ref="D625:M625" si="246">SUM(D615:D621)</f>
        <v>0</v>
      </c>
      <c r="E625" s="8">
        <f t="shared" si="246"/>
        <v>294.23439310657</v>
      </c>
      <c r="F625" s="8">
        <f t="shared" si="246"/>
        <v>0</v>
      </c>
      <c r="G625" s="8">
        <f t="shared" si="246"/>
        <v>18.406127889685</v>
      </c>
      <c r="H625" s="8">
        <f t="shared" si="246"/>
        <v>0</v>
      </c>
      <c r="I625" s="8">
        <f t="shared" si="246"/>
        <v>214.267704172672</v>
      </c>
      <c r="J625" s="8">
        <f t="shared" si="246"/>
        <v>566.637834446944</v>
      </c>
      <c r="K625" s="8">
        <f t="shared" si="246"/>
        <v>110.990364915663</v>
      </c>
      <c r="L625" s="8">
        <f t="shared" si="246"/>
        <v>107.432190407507</v>
      </c>
      <c r="M625" s="8">
        <f t="shared" si="246"/>
        <v>0</v>
      </c>
      <c r="N625" s="8">
        <f t="shared" si="241"/>
        <v>62.5281041992509</v>
      </c>
      <c r="O625" s="8">
        <f t="shared" si="242"/>
        <v>199.865618788557</v>
      </c>
      <c r="P625" s="8">
        <f t="shared" si="243"/>
        <v>5.98932306187513</v>
      </c>
      <c r="Q625" s="8">
        <f t="shared" si="244"/>
        <v>7.65008683573721</v>
      </c>
    </row>
    <row r="626" spans="1:1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8"/>
      <c r="O626" s="8"/>
      <c r="P626" s="11"/>
      <c r="Q626" s="11"/>
    </row>
    <row r="627" spans="1:17">
      <c r="A627" s="11"/>
      <c r="B627" s="8" t="s">
        <v>234</v>
      </c>
      <c r="C627" s="8" t="s">
        <v>37</v>
      </c>
      <c r="D627" s="8">
        <f t="shared" ref="D627:M627" si="247">LOG(D623+1,2)</f>
        <v>3.62069865820985</v>
      </c>
      <c r="E627" s="8">
        <f t="shared" si="247"/>
        <v>0</v>
      </c>
      <c r="F627" s="8">
        <f t="shared" si="247"/>
        <v>0</v>
      </c>
      <c r="G627" s="8">
        <f t="shared" si="247"/>
        <v>0</v>
      </c>
      <c r="H627" s="8">
        <f t="shared" si="247"/>
        <v>0</v>
      </c>
      <c r="I627" s="8">
        <f t="shared" si="247"/>
        <v>5.67912888307554</v>
      </c>
      <c r="J627" s="8">
        <f t="shared" si="247"/>
        <v>4.19463013873604</v>
      </c>
      <c r="K627" s="8">
        <f t="shared" si="247"/>
        <v>0</v>
      </c>
      <c r="L627" s="8">
        <f t="shared" si="247"/>
        <v>0</v>
      </c>
      <c r="M627" s="15">
        <f t="shared" si="247"/>
        <v>0</v>
      </c>
      <c r="N627" s="8"/>
      <c r="O627" s="8"/>
      <c r="P627" s="11"/>
      <c r="Q627" s="11"/>
    </row>
    <row r="628" spans="1:17">
      <c r="A628" s="11"/>
      <c r="B628" s="8" t="s">
        <v>234</v>
      </c>
      <c r="C628" s="8" t="s">
        <v>36</v>
      </c>
      <c r="D628" s="8">
        <f t="shared" ref="D628:M628" si="248">LOG(D624+1,2)</f>
        <v>0</v>
      </c>
      <c r="E628" s="8">
        <f t="shared" si="248"/>
        <v>0</v>
      </c>
      <c r="F628" s="8">
        <f t="shared" si="248"/>
        <v>0</v>
      </c>
      <c r="G628" s="8">
        <f t="shared" si="248"/>
        <v>0</v>
      </c>
      <c r="H628" s="8">
        <f t="shared" si="248"/>
        <v>0</v>
      </c>
      <c r="I628" s="8">
        <f t="shared" si="248"/>
        <v>0</v>
      </c>
      <c r="J628" s="8">
        <f t="shared" si="248"/>
        <v>0</v>
      </c>
      <c r="K628" s="8">
        <f t="shared" si="248"/>
        <v>0</v>
      </c>
      <c r="L628" s="8">
        <f t="shared" si="248"/>
        <v>0</v>
      </c>
      <c r="M628" s="15">
        <f t="shared" si="248"/>
        <v>0</v>
      </c>
      <c r="N628" s="8"/>
      <c r="O628" s="8"/>
      <c r="P628" s="11"/>
      <c r="Q628" s="11"/>
    </row>
    <row r="629" spans="1:17">
      <c r="A629" s="11"/>
      <c r="B629" s="8" t="s">
        <v>234</v>
      </c>
      <c r="C629" s="8" t="s">
        <v>35</v>
      </c>
      <c r="D629" s="8">
        <f t="shared" ref="D629:M629" si="249">LOG(D625+1,2)</f>
        <v>0</v>
      </c>
      <c r="E629" s="8">
        <f t="shared" si="249"/>
        <v>8.20571698662705</v>
      </c>
      <c r="F629" s="8">
        <f t="shared" si="249"/>
        <v>0</v>
      </c>
      <c r="G629" s="8">
        <f t="shared" si="249"/>
        <v>4.27844038029455</v>
      </c>
      <c r="H629" s="8">
        <f t="shared" si="249"/>
        <v>0</v>
      </c>
      <c r="I629" s="8">
        <f t="shared" si="249"/>
        <v>7.74998808324716</v>
      </c>
      <c r="J629" s="8">
        <f t="shared" si="249"/>
        <v>9.14882694152322</v>
      </c>
      <c r="K629" s="8">
        <f t="shared" si="249"/>
        <v>6.8072308052153</v>
      </c>
      <c r="L629" s="8">
        <f t="shared" si="249"/>
        <v>6.76064930483459</v>
      </c>
      <c r="M629" s="15">
        <f t="shared" si="249"/>
        <v>0</v>
      </c>
      <c r="N629" s="8"/>
      <c r="O629" s="8"/>
      <c r="P629" s="11"/>
      <c r="Q629" s="11"/>
    </row>
    <row r="630" spans="1:1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>
      <c r="A632" s="8" t="s">
        <v>235</v>
      </c>
      <c r="B632" s="8" t="s">
        <v>188</v>
      </c>
      <c r="C632" s="8" t="s">
        <v>189</v>
      </c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11"/>
      <c r="O632" s="11"/>
      <c r="P632" s="11"/>
      <c r="Q632" s="11"/>
    </row>
    <row r="633" spans="1:17">
      <c r="A633" s="8" t="s">
        <v>235</v>
      </c>
      <c r="B633" s="8" t="s">
        <v>190</v>
      </c>
      <c r="C633" s="8" t="s">
        <v>191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11"/>
      <c r="O633" s="11"/>
      <c r="P633" s="11"/>
      <c r="Q633" s="11"/>
    </row>
    <row r="634" spans="1:17">
      <c r="A634" s="8" t="s">
        <v>235</v>
      </c>
      <c r="B634" s="8" t="s">
        <v>192</v>
      </c>
      <c r="C634" s="8" t="s">
        <v>193</v>
      </c>
      <c r="D634" s="8">
        <v>0</v>
      </c>
      <c r="E634" s="8">
        <v>10.6182096850048</v>
      </c>
      <c r="F634" s="8">
        <v>0</v>
      </c>
      <c r="G634" s="8">
        <v>2.42481357779431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23.507738989947</v>
      </c>
      <c r="N634" s="11"/>
      <c r="O634" s="11"/>
      <c r="P634" s="11"/>
      <c r="Q634" s="11"/>
    </row>
    <row r="635" spans="1:17">
      <c r="A635" s="8" t="s">
        <v>235</v>
      </c>
      <c r="B635" s="8" t="s">
        <v>192</v>
      </c>
      <c r="C635" s="8" t="s">
        <v>194</v>
      </c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11"/>
      <c r="O635" s="11"/>
      <c r="P635" s="11"/>
      <c r="Q635" s="11"/>
    </row>
    <row r="636" spans="1:17">
      <c r="A636" s="8" t="s">
        <v>235</v>
      </c>
      <c r="B636" s="8" t="s">
        <v>195</v>
      </c>
      <c r="C636" s="8" t="s">
        <v>196</v>
      </c>
      <c r="D636" s="8">
        <v>0</v>
      </c>
      <c r="E636" s="8">
        <v>0</v>
      </c>
      <c r="F636" s="8">
        <v>0</v>
      </c>
      <c r="G636" s="8">
        <v>0.126247928904956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11"/>
      <c r="O636" s="11"/>
      <c r="P636" s="11"/>
      <c r="Q636" s="11"/>
    </row>
    <row r="637" spans="1:17">
      <c r="A637" s="8" t="s">
        <v>235</v>
      </c>
      <c r="B637" s="8" t="s">
        <v>195</v>
      </c>
      <c r="C637" s="8" t="s">
        <v>197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11"/>
      <c r="O637" s="11"/>
      <c r="P637" s="11"/>
      <c r="Q637" s="11"/>
    </row>
    <row r="638" spans="1:17">
      <c r="A638" s="8" t="s">
        <v>235</v>
      </c>
      <c r="B638" s="8" t="s">
        <v>198</v>
      </c>
      <c r="C638" s="8" t="s">
        <v>199</v>
      </c>
      <c r="D638" s="8">
        <v>0</v>
      </c>
      <c r="E638" s="8">
        <v>0</v>
      </c>
      <c r="F638" s="8">
        <v>0</v>
      </c>
      <c r="G638" s="8">
        <v>10.2569510673637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93.3086141048042</v>
      </c>
      <c r="N638" s="11"/>
      <c r="O638" s="11"/>
      <c r="P638" s="11"/>
      <c r="Q638" s="11"/>
    </row>
    <row r="639" spans="1:17">
      <c r="A639" s="8" t="s">
        <v>235</v>
      </c>
      <c r="B639" s="8" t="s">
        <v>36</v>
      </c>
      <c r="C639" s="8" t="s">
        <v>130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11"/>
      <c r="O639" s="11"/>
      <c r="P639" s="11"/>
      <c r="Q639" s="11"/>
    </row>
    <row r="640" spans="1:17">
      <c r="A640" s="8" t="s">
        <v>235</v>
      </c>
      <c r="B640" s="8" t="s">
        <v>200</v>
      </c>
      <c r="C640" s="8" t="s">
        <v>97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6.76425452266027</v>
      </c>
      <c r="L640" s="8">
        <v>0</v>
      </c>
      <c r="M640" s="8">
        <v>0</v>
      </c>
      <c r="N640" s="11"/>
      <c r="O640" s="11"/>
      <c r="P640" s="11"/>
      <c r="Q640" s="11"/>
    </row>
    <row r="641" spans="1:17">
      <c r="A641" s="8" t="s">
        <v>235</v>
      </c>
      <c r="B641" s="8" t="s">
        <v>200</v>
      </c>
      <c r="C641" s="8" t="s">
        <v>98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5.89766498519948</v>
      </c>
      <c r="K641" s="8">
        <v>0</v>
      </c>
      <c r="L641" s="8">
        <v>0</v>
      </c>
      <c r="M641" s="8">
        <v>0</v>
      </c>
      <c r="N641" s="11"/>
      <c r="O641" s="11"/>
      <c r="P641" s="11"/>
      <c r="Q641" s="11"/>
    </row>
    <row r="642" spans="1:17">
      <c r="A642" s="8" t="s">
        <v>235</v>
      </c>
      <c r="B642" s="8" t="s">
        <v>200</v>
      </c>
      <c r="C642" s="8" t="s">
        <v>95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2.56287376652149</v>
      </c>
      <c r="L642" s="8">
        <v>0</v>
      </c>
      <c r="M642" s="8">
        <v>0</v>
      </c>
      <c r="N642" s="11"/>
      <c r="O642" s="11"/>
      <c r="P642" s="11"/>
      <c r="Q642" s="11"/>
    </row>
    <row r="643" spans="1:17">
      <c r="A643" s="8" t="s">
        <v>235</v>
      </c>
      <c r="B643" s="8" t="s">
        <v>200</v>
      </c>
      <c r="C643" s="8" t="s">
        <v>93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4.43875579579603</v>
      </c>
      <c r="L643" s="8">
        <v>0</v>
      </c>
      <c r="M643" s="8">
        <v>0</v>
      </c>
      <c r="N643" s="11"/>
      <c r="O643" s="11"/>
      <c r="P643" s="11"/>
      <c r="Q643" s="11"/>
    </row>
    <row r="644" spans="1:17">
      <c r="A644" s="8" t="s">
        <v>235</v>
      </c>
      <c r="B644" s="8" t="s">
        <v>200</v>
      </c>
      <c r="C644" s="8" t="s">
        <v>96</v>
      </c>
      <c r="D644" s="8">
        <v>0</v>
      </c>
      <c r="E644" s="8">
        <v>0</v>
      </c>
      <c r="F644" s="8">
        <v>0</v>
      </c>
      <c r="G644" s="8">
        <v>10.477</v>
      </c>
      <c r="H644" s="8">
        <v>0</v>
      </c>
      <c r="I644" s="8">
        <v>7.93223646680878</v>
      </c>
      <c r="J644" s="8">
        <v>0</v>
      </c>
      <c r="K644" s="8">
        <v>0</v>
      </c>
      <c r="L644" s="8">
        <v>37.0610377873681</v>
      </c>
      <c r="M644" s="8">
        <v>0</v>
      </c>
      <c r="N644" s="11"/>
      <c r="O644" s="11"/>
      <c r="P644" s="11"/>
      <c r="Q644" s="11"/>
    </row>
    <row r="645" spans="1:17">
      <c r="A645" s="8" t="s">
        <v>235</v>
      </c>
      <c r="B645" s="8" t="s">
        <v>200</v>
      </c>
      <c r="C645" s="8" t="s">
        <v>94</v>
      </c>
      <c r="D645" s="8">
        <v>0</v>
      </c>
      <c r="E645" s="8">
        <v>0</v>
      </c>
      <c r="F645" s="8">
        <v>0</v>
      </c>
      <c r="G645" s="8">
        <v>15.7154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11"/>
      <c r="O645" s="11"/>
      <c r="P645" s="11"/>
      <c r="Q645" s="11"/>
    </row>
    <row r="646" spans="1:17">
      <c r="A646" s="8" t="s">
        <v>235</v>
      </c>
      <c r="B646" s="8" t="s">
        <v>201</v>
      </c>
      <c r="C646" s="8" t="s">
        <v>202</v>
      </c>
      <c r="D646" s="8">
        <v>0</v>
      </c>
      <c r="E646" s="8">
        <v>0</v>
      </c>
      <c r="F646" s="8">
        <v>0</v>
      </c>
      <c r="G646" s="8">
        <v>0</v>
      </c>
      <c r="H646" s="8">
        <v>1.82657772977482</v>
      </c>
      <c r="I646" s="8">
        <v>0</v>
      </c>
      <c r="J646" s="8">
        <v>0</v>
      </c>
      <c r="K646" s="8">
        <v>0</v>
      </c>
      <c r="L646" s="8">
        <v>2.72653521851083</v>
      </c>
      <c r="M646" s="8">
        <v>29.4066114023841</v>
      </c>
      <c r="N646" s="11"/>
      <c r="O646" s="11"/>
      <c r="P646" s="11"/>
      <c r="Q646" s="11"/>
    </row>
    <row r="647" spans="1:17">
      <c r="A647" s="11"/>
      <c r="B647" s="11"/>
      <c r="C647" s="11"/>
      <c r="D647" s="2" t="s">
        <v>185</v>
      </c>
      <c r="E647" s="3"/>
      <c r="F647" s="3"/>
      <c r="G647" s="3"/>
      <c r="H647" s="4"/>
      <c r="I647" s="5" t="s">
        <v>186</v>
      </c>
      <c r="J647" s="6"/>
      <c r="K647" s="6"/>
      <c r="L647" s="6"/>
      <c r="M647" s="7"/>
      <c r="N647" s="8" t="s">
        <v>203</v>
      </c>
      <c r="O647" s="8" t="s">
        <v>203</v>
      </c>
      <c r="P647" s="8" t="s">
        <v>248</v>
      </c>
      <c r="Q647" s="8" t="s">
        <v>248</v>
      </c>
    </row>
    <row r="648" spans="1:17">
      <c r="A648" s="11"/>
      <c r="B648" s="8" t="s">
        <v>235</v>
      </c>
      <c r="C648" s="8" t="s">
        <v>37</v>
      </c>
      <c r="D648" s="8">
        <f t="shared" ref="D648:M648" si="250">SUM(D632:D638)</f>
        <v>0</v>
      </c>
      <c r="E648" s="8">
        <f t="shared" si="250"/>
        <v>10.6182096850048</v>
      </c>
      <c r="F648" s="8">
        <f t="shared" si="250"/>
        <v>0</v>
      </c>
      <c r="G648" s="8">
        <f t="shared" si="250"/>
        <v>12.808012574063</v>
      </c>
      <c r="H648" s="8">
        <f t="shared" si="250"/>
        <v>0</v>
      </c>
      <c r="I648" s="8">
        <f t="shared" si="250"/>
        <v>0</v>
      </c>
      <c r="J648" s="8">
        <f t="shared" si="250"/>
        <v>0</v>
      </c>
      <c r="K648" s="8">
        <f t="shared" si="250"/>
        <v>0</v>
      </c>
      <c r="L648" s="8">
        <f t="shared" si="250"/>
        <v>0</v>
      </c>
      <c r="M648" s="8">
        <f t="shared" si="250"/>
        <v>116.816353094751</v>
      </c>
      <c r="N648" s="8">
        <f t="shared" ref="N648:N650" si="251">AVERAGE(D648:H648)</f>
        <v>4.68524445181355</v>
      </c>
      <c r="O648" s="8">
        <f t="shared" ref="O648:O650" si="252">AVERAGE(I648:M648)</f>
        <v>23.3632706189502</v>
      </c>
      <c r="P648" s="8">
        <f t="shared" ref="P648:P650" si="253">LOG(N648+1,2)</f>
        <v>2.50722238286195</v>
      </c>
      <c r="Q648" s="8">
        <f t="shared" ref="Q648:Q650" si="254">LOG(O648+1,2)</f>
        <v>4.60663591405159</v>
      </c>
    </row>
    <row r="649" spans="1:17">
      <c r="A649" s="11"/>
      <c r="B649" s="8" t="s">
        <v>235</v>
      </c>
      <c r="C649" s="8" t="s">
        <v>36</v>
      </c>
      <c r="D649" s="8">
        <f t="shared" ref="D649:M649" si="255">D639</f>
        <v>0</v>
      </c>
      <c r="E649" s="8">
        <f t="shared" si="255"/>
        <v>0</v>
      </c>
      <c r="F649" s="8">
        <f t="shared" si="255"/>
        <v>0</v>
      </c>
      <c r="G649" s="8">
        <f t="shared" si="255"/>
        <v>0</v>
      </c>
      <c r="H649" s="8">
        <f t="shared" si="255"/>
        <v>0</v>
      </c>
      <c r="I649" s="8">
        <f t="shared" si="255"/>
        <v>0</v>
      </c>
      <c r="J649" s="8">
        <f t="shared" si="255"/>
        <v>0</v>
      </c>
      <c r="K649" s="8">
        <f t="shared" si="255"/>
        <v>0</v>
      </c>
      <c r="L649" s="8">
        <f t="shared" si="255"/>
        <v>0</v>
      </c>
      <c r="M649" s="8">
        <f t="shared" si="255"/>
        <v>0</v>
      </c>
      <c r="N649" s="8">
        <f t="shared" si="251"/>
        <v>0</v>
      </c>
      <c r="O649" s="8">
        <f t="shared" si="252"/>
        <v>0</v>
      </c>
      <c r="P649" s="8">
        <f t="shared" si="253"/>
        <v>0</v>
      </c>
      <c r="Q649" s="8">
        <f t="shared" si="254"/>
        <v>0</v>
      </c>
    </row>
    <row r="650" spans="1:17">
      <c r="A650" s="11"/>
      <c r="B650" s="8" t="s">
        <v>235</v>
      </c>
      <c r="C650" s="8" t="s">
        <v>35</v>
      </c>
      <c r="D650" s="8">
        <f t="shared" ref="D650:M650" si="256">SUM(D640:D646)</f>
        <v>0</v>
      </c>
      <c r="E650" s="8">
        <f t="shared" si="256"/>
        <v>0</v>
      </c>
      <c r="F650" s="8">
        <f t="shared" si="256"/>
        <v>0</v>
      </c>
      <c r="G650" s="8">
        <f t="shared" si="256"/>
        <v>26.1924</v>
      </c>
      <c r="H650" s="8">
        <f t="shared" si="256"/>
        <v>1.82657772977482</v>
      </c>
      <c r="I650" s="8">
        <f t="shared" si="256"/>
        <v>7.93223646680878</v>
      </c>
      <c r="J650" s="8">
        <f t="shared" si="256"/>
        <v>5.89766498519948</v>
      </c>
      <c r="K650" s="8">
        <f t="shared" si="256"/>
        <v>13.7658840849778</v>
      </c>
      <c r="L650" s="8">
        <f t="shared" si="256"/>
        <v>39.787573005879</v>
      </c>
      <c r="M650" s="8">
        <f t="shared" si="256"/>
        <v>29.4066114023841</v>
      </c>
      <c r="N650" s="8">
        <f t="shared" si="251"/>
        <v>5.60379554595496</v>
      </c>
      <c r="O650" s="8">
        <f t="shared" si="252"/>
        <v>19.3579939890498</v>
      </c>
      <c r="P650" s="8">
        <f t="shared" si="253"/>
        <v>2.72329545498726</v>
      </c>
      <c r="Q650" s="8">
        <f t="shared" si="254"/>
        <v>4.34752350479651</v>
      </c>
    </row>
    <row r="651" spans="1:1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8"/>
      <c r="O651" s="8"/>
      <c r="P651" s="11"/>
      <c r="Q651" s="11"/>
    </row>
    <row r="652" spans="1:17">
      <c r="A652" s="11"/>
      <c r="B652" s="8" t="s">
        <v>235</v>
      </c>
      <c r="C652" s="8" t="s">
        <v>37</v>
      </c>
      <c r="D652" s="8">
        <f t="shared" ref="D652:M652" si="257">LOG(D648+1,2)</f>
        <v>0</v>
      </c>
      <c r="E652" s="8">
        <f t="shared" si="257"/>
        <v>3.53831586779847</v>
      </c>
      <c r="F652" s="8">
        <f t="shared" si="257"/>
        <v>0</v>
      </c>
      <c r="G652" s="8">
        <f t="shared" si="257"/>
        <v>3.78743377828642</v>
      </c>
      <c r="H652" s="8">
        <f t="shared" si="257"/>
        <v>0</v>
      </c>
      <c r="I652" s="8">
        <f t="shared" si="257"/>
        <v>0</v>
      </c>
      <c r="J652" s="8">
        <f t="shared" si="257"/>
        <v>0</v>
      </c>
      <c r="K652" s="8">
        <f t="shared" si="257"/>
        <v>0</v>
      </c>
      <c r="L652" s="8">
        <f t="shared" si="257"/>
        <v>0</v>
      </c>
      <c r="M652" s="15">
        <f t="shared" si="257"/>
        <v>6.88039599117811</v>
      </c>
      <c r="N652" s="8"/>
      <c r="O652" s="8"/>
      <c r="P652" s="11"/>
      <c r="Q652" s="11"/>
    </row>
    <row r="653" spans="1:17">
      <c r="A653" s="11"/>
      <c r="B653" s="8" t="s">
        <v>235</v>
      </c>
      <c r="C653" s="8" t="s">
        <v>36</v>
      </c>
      <c r="D653" s="8">
        <f t="shared" ref="D653:M653" si="258">LOG(D649+1,2)</f>
        <v>0</v>
      </c>
      <c r="E653" s="8">
        <f t="shared" si="258"/>
        <v>0</v>
      </c>
      <c r="F653" s="8">
        <f t="shared" si="258"/>
        <v>0</v>
      </c>
      <c r="G653" s="8">
        <f t="shared" si="258"/>
        <v>0</v>
      </c>
      <c r="H653" s="8">
        <f t="shared" si="258"/>
        <v>0</v>
      </c>
      <c r="I653" s="8">
        <f t="shared" si="258"/>
        <v>0</v>
      </c>
      <c r="J653" s="8">
        <f t="shared" si="258"/>
        <v>0</v>
      </c>
      <c r="K653" s="8">
        <f t="shared" si="258"/>
        <v>0</v>
      </c>
      <c r="L653" s="8">
        <f t="shared" si="258"/>
        <v>0</v>
      </c>
      <c r="M653" s="15">
        <f t="shared" si="258"/>
        <v>0</v>
      </c>
      <c r="N653" s="8"/>
      <c r="O653" s="8"/>
      <c r="P653" s="11"/>
      <c r="Q653" s="11"/>
    </row>
    <row r="654" spans="1:17">
      <c r="A654" s="11"/>
      <c r="B654" s="8" t="s">
        <v>235</v>
      </c>
      <c r="C654" s="8" t="s">
        <v>35</v>
      </c>
      <c r="D654" s="8">
        <f t="shared" ref="D654:M654" si="259">LOG(D650+1,2)</f>
        <v>0</v>
      </c>
      <c r="E654" s="8">
        <f t="shared" si="259"/>
        <v>0</v>
      </c>
      <c r="F654" s="8">
        <f t="shared" si="259"/>
        <v>0</v>
      </c>
      <c r="G654" s="8">
        <f t="shared" si="259"/>
        <v>4.7651315840689</v>
      </c>
      <c r="H654" s="8">
        <f t="shared" si="259"/>
        <v>1.49905637108452</v>
      </c>
      <c r="I654" s="8">
        <f t="shared" si="259"/>
        <v>3.15902144473144</v>
      </c>
      <c r="J654" s="8">
        <f t="shared" si="259"/>
        <v>2.78610805980362</v>
      </c>
      <c r="K654" s="8">
        <f t="shared" si="259"/>
        <v>3.8841958331289</v>
      </c>
      <c r="L654" s="8">
        <f t="shared" si="259"/>
        <v>5.35005775949381</v>
      </c>
      <c r="M654" s="15">
        <f t="shared" si="259"/>
        <v>4.92631314225338</v>
      </c>
      <c r="N654" s="8"/>
      <c r="O654" s="8"/>
      <c r="P654" s="11"/>
      <c r="Q654" s="11"/>
    </row>
    <row r="655" spans="1:1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>
      <c r="A657" s="8" t="s">
        <v>236</v>
      </c>
      <c r="B657" s="8" t="s">
        <v>188</v>
      </c>
      <c r="C657" s="8" t="s">
        <v>189</v>
      </c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11"/>
      <c r="O657" s="11"/>
      <c r="P657" s="11"/>
      <c r="Q657" s="11"/>
    </row>
    <row r="658" spans="1:17">
      <c r="A658" s="8" t="s">
        <v>236</v>
      </c>
      <c r="B658" s="8" t="s">
        <v>190</v>
      </c>
      <c r="C658" s="8" t="s">
        <v>191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11"/>
      <c r="O658" s="11"/>
      <c r="P658" s="11"/>
      <c r="Q658" s="11"/>
    </row>
    <row r="659" spans="1:17">
      <c r="A659" s="8" t="s">
        <v>236</v>
      </c>
      <c r="B659" s="8" t="s">
        <v>192</v>
      </c>
      <c r="C659" s="8" t="s">
        <v>193</v>
      </c>
      <c r="D659" s="8">
        <v>0</v>
      </c>
      <c r="E659" s="8">
        <v>0</v>
      </c>
      <c r="F659" s="8">
        <v>0</v>
      </c>
      <c r="G659" s="8">
        <v>12.1277090719597</v>
      </c>
      <c r="H659" s="8">
        <v>0</v>
      </c>
      <c r="I659" s="8">
        <v>0</v>
      </c>
      <c r="J659" s="8">
        <v>4.67953276924819</v>
      </c>
      <c r="K659" s="8">
        <v>0</v>
      </c>
      <c r="L659" s="8">
        <v>15.8940022469968</v>
      </c>
      <c r="M659" s="8">
        <v>0</v>
      </c>
      <c r="N659" s="11"/>
      <c r="O659" s="11"/>
      <c r="P659" s="11"/>
      <c r="Q659" s="11"/>
    </row>
    <row r="660" spans="1:17">
      <c r="A660" s="8" t="s">
        <v>236</v>
      </c>
      <c r="B660" s="8" t="s">
        <v>192</v>
      </c>
      <c r="C660" s="8" t="s">
        <v>194</v>
      </c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11"/>
      <c r="O660" s="11"/>
      <c r="P660" s="11"/>
      <c r="Q660" s="11"/>
    </row>
    <row r="661" spans="1:17">
      <c r="A661" s="8" t="s">
        <v>236</v>
      </c>
      <c r="B661" s="8" t="s">
        <v>195</v>
      </c>
      <c r="C661" s="8" t="s">
        <v>196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11"/>
      <c r="O661" s="11"/>
      <c r="P661" s="11"/>
      <c r="Q661" s="11"/>
    </row>
    <row r="662" spans="1:17">
      <c r="A662" s="8" t="s">
        <v>236</v>
      </c>
      <c r="B662" s="8" t="s">
        <v>195</v>
      </c>
      <c r="C662" s="8" t="s">
        <v>197</v>
      </c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11"/>
      <c r="O662" s="11"/>
      <c r="P662" s="11"/>
      <c r="Q662" s="11"/>
    </row>
    <row r="663" spans="1:17">
      <c r="A663" s="8" t="s">
        <v>236</v>
      </c>
      <c r="B663" s="8" t="s">
        <v>198</v>
      </c>
      <c r="C663" s="8" t="s">
        <v>199</v>
      </c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11"/>
      <c r="O663" s="11"/>
      <c r="P663" s="11"/>
      <c r="Q663" s="11"/>
    </row>
    <row r="664" spans="1:17">
      <c r="A664" s="8" t="s">
        <v>236</v>
      </c>
      <c r="B664" s="8" t="s">
        <v>36</v>
      </c>
      <c r="C664" s="8" t="s">
        <v>130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11"/>
      <c r="O664" s="11"/>
      <c r="P664" s="11"/>
      <c r="Q664" s="11"/>
    </row>
    <row r="665" spans="1:17">
      <c r="A665" s="8" t="s">
        <v>236</v>
      </c>
      <c r="B665" s="8" t="s">
        <v>200</v>
      </c>
      <c r="C665" s="8" t="s">
        <v>97</v>
      </c>
      <c r="D665" s="8">
        <v>0</v>
      </c>
      <c r="E665" s="8">
        <v>0</v>
      </c>
      <c r="F665" s="8">
        <v>0</v>
      </c>
      <c r="G665" s="8">
        <v>15.1769</v>
      </c>
      <c r="H665" s="8">
        <v>0</v>
      </c>
      <c r="I665" s="8">
        <v>0</v>
      </c>
      <c r="J665" s="8">
        <v>0</v>
      </c>
      <c r="K665" s="8">
        <v>0</v>
      </c>
      <c r="L665" s="8">
        <v>2.31653065494873</v>
      </c>
      <c r="M665" s="8">
        <v>7.07220821491705</v>
      </c>
      <c r="N665" s="11"/>
      <c r="O665" s="11"/>
      <c r="P665" s="11"/>
      <c r="Q665" s="11"/>
    </row>
    <row r="666" spans="1:17">
      <c r="A666" s="8" t="s">
        <v>236</v>
      </c>
      <c r="B666" s="8" t="s">
        <v>200</v>
      </c>
      <c r="C666" s="8" t="s">
        <v>98</v>
      </c>
      <c r="D666" s="8">
        <v>0</v>
      </c>
      <c r="E666" s="8">
        <v>4.19165573149552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3.27485475607303</v>
      </c>
      <c r="M666" s="8">
        <v>0</v>
      </c>
      <c r="N666" s="11"/>
      <c r="O666" s="11"/>
      <c r="P666" s="11"/>
      <c r="Q666" s="11"/>
    </row>
    <row r="667" spans="1:17">
      <c r="A667" s="8" t="s">
        <v>236</v>
      </c>
      <c r="B667" s="8" t="s">
        <v>200</v>
      </c>
      <c r="C667" s="8" t="s">
        <v>95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5.36903685262164</v>
      </c>
      <c r="L667" s="8">
        <v>0</v>
      </c>
      <c r="M667" s="8">
        <v>36.0822190493064</v>
      </c>
      <c r="N667" s="11"/>
      <c r="O667" s="11"/>
      <c r="P667" s="11"/>
      <c r="Q667" s="11"/>
    </row>
    <row r="668" spans="1:17">
      <c r="A668" s="8" t="s">
        <v>236</v>
      </c>
      <c r="B668" s="8" t="s">
        <v>200</v>
      </c>
      <c r="C668" s="8" t="s">
        <v>93</v>
      </c>
      <c r="D668" s="8">
        <v>0</v>
      </c>
      <c r="E668" s="8">
        <v>5.68313911988294</v>
      </c>
      <c r="F668" s="8">
        <v>0</v>
      </c>
      <c r="G668" s="8">
        <v>9.1632</v>
      </c>
      <c r="H668" s="8">
        <v>0</v>
      </c>
      <c r="I668" s="8">
        <v>9.41953421181362</v>
      </c>
      <c r="J668" s="8">
        <v>0</v>
      </c>
      <c r="K668" s="8">
        <v>3.41871812846206</v>
      </c>
      <c r="L668" s="8">
        <v>0.955166313756236</v>
      </c>
      <c r="M668" s="8">
        <v>0</v>
      </c>
      <c r="N668" s="11"/>
      <c r="O668" s="11"/>
      <c r="P668" s="11"/>
      <c r="Q668" s="11"/>
    </row>
    <row r="669" spans="1:17">
      <c r="A669" s="8" t="s">
        <v>236</v>
      </c>
      <c r="B669" s="8" t="s">
        <v>200</v>
      </c>
      <c r="C669" s="8" t="s">
        <v>96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5.37927518064755</v>
      </c>
      <c r="N669" s="11"/>
      <c r="O669" s="11"/>
      <c r="P669" s="11"/>
      <c r="Q669" s="11"/>
    </row>
    <row r="670" spans="1:17">
      <c r="A670" s="8" t="s">
        <v>236</v>
      </c>
      <c r="B670" s="8" t="s">
        <v>200</v>
      </c>
      <c r="C670" s="8" t="s">
        <v>94</v>
      </c>
      <c r="D670" s="8">
        <v>0</v>
      </c>
      <c r="E670" s="8">
        <v>1.44339775082747</v>
      </c>
      <c r="F670" s="8">
        <v>0</v>
      </c>
      <c r="G670" s="8">
        <v>2.26768100945514</v>
      </c>
      <c r="H670" s="8">
        <v>0</v>
      </c>
      <c r="I670" s="8">
        <v>2.11279381107095</v>
      </c>
      <c r="J670" s="8">
        <v>0</v>
      </c>
      <c r="K670" s="8">
        <v>5.62139075929031</v>
      </c>
      <c r="L670" s="8">
        <v>1.28612489620204</v>
      </c>
      <c r="M670" s="8">
        <v>0</v>
      </c>
      <c r="N670" s="11"/>
      <c r="O670" s="11"/>
      <c r="P670" s="11"/>
      <c r="Q670" s="11"/>
    </row>
    <row r="671" spans="1:17">
      <c r="A671" s="8" t="s">
        <v>236</v>
      </c>
      <c r="B671" s="8" t="s">
        <v>201</v>
      </c>
      <c r="C671" s="8" t="s">
        <v>202</v>
      </c>
      <c r="D671" s="8">
        <v>0</v>
      </c>
      <c r="E671" s="8">
        <v>0</v>
      </c>
      <c r="F671" s="8">
        <v>0</v>
      </c>
      <c r="G671" s="8">
        <v>9.215077261994</v>
      </c>
      <c r="H671" s="8">
        <v>0</v>
      </c>
      <c r="I671" s="8">
        <v>0</v>
      </c>
      <c r="J671" s="8">
        <v>0</v>
      </c>
      <c r="K671" s="8">
        <v>2.07608921198938</v>
      </c>
      <c r="L671" s="8">
        <v>9.44549100621332</v>
      </c>
      <c r="M671" s="8">
        <v>30.0748989383807</v>
      </c>
      <c r="N671" s="11"/>
      <c r="O671" s="11"/>
      <c r="P671" s="11"/>
      <c r="Q671" s="11"/>
    </row>
    <row r="672" spans="1:17">
      <c r="A672" s="11"/>
      <c r="B672" s="11"/>
      <c r="C672" s="11"/>
      <c r="D672" s="2" t="s">
        <v>185</v>
      </c>
      <c r="E672" s="3"/>
      <c r="F672" s="3"/>
      <c r="G672" s="3"/>
      <c r="H672" s="4"/>
      <c r="I672" s="5" t="s">
        <v>186</v>
      </c>
      <c r="J672" s="6"/>
      <c r="K672" s="6"/>
      <c r="L672" s="6"/>
      <c r="M672" s="7"/>
      <c r="N672" s="8" t="s">
        <v>203</v>
      </c>
      <c r="O672" s="8" t="s">
        <v>203</v>
      </c>
      <c r="P672" s="8" t="s">
        <v>248</v>
      </c>
      <c r="Q672" s="8" t="s">
        <v>248</v>
      </c>
    </row>
    <row r="673" spans="1:17">
      <c r="A673" s="11"/>
      <c r="B673" s="8" t="s">
        <v>236</v>
      </c>
      <c r="C673" s="8" t="s">
        <v>37</v>
      </c>
      <c r="D673" s="8">
        <f t="shared" ref="D673:M673" si="260">SUM(D657:D663)</f>
        <v>0</v>
      </c>
      <c r="E673" s="8">
        <f t="shared" si="260"/>
        <v>0</v>
      </c>
      <c r="F673" s="8">
        <f t="shared" si="260"/>
        <v>0</v>
      </c>
      <c r="G673" s="8">
        <f t="shared" si="260"/>
        <v>12.1277090719597</v>
      </c>
      <c r="H673" s="8">
        <f t="shared" si="260"/>
        <v>0</v>
      </c>
      <c r="I673" s="8">
        <f t="shared" si="260"/>
        <v>0</v>
      </c>
      <c r="J673" s="8">
        <f t="shared" si="260"/>
        <v>4.67953276924819</v>
      </c>
      <c r="K673" s="8">
        <f t="shared" si="260"/>
        <v>0</v>
      </c>
      <c r="L673" s="8">
        <f t="shared" si="260"/>
        <v>15.8940022469968</v>
      </c>
      <c r="M673" s="8">
        <f t="shared" si="260"/>
        <v>0</v>
      </c>
      <c r="N673" s="8">
        <f t="shared" ref="N673:N675" si="261">AVERAGE(D673:H673)</f>
        <v>2.42554181439194</v>
      </c>
      <c r="O673" s="8">
        <f t="shared" ref="O673:O675" si="262">AVERAGE(I673:M673)</f>
        <v>4.114707003249</v>
      </c>
      <c r="P673" s="8">
        <f t="shared" ref="P673:P675" si="263">LOG(N673+1,2)</f>
        <v>1.77633219569795</v>
      </c>
      <c r="Q673" s="8">
        <f t="shared" ref="Q673:Q675" si="264">LOG(O673+1,2)</f>
        <v>2.3546515973378</v>
      </c>
    </row>
    <row r="674" spans="1:17">
      <c r="A674" s="11"/>
      <c r="B674" s="8" t="s">
        <v>236</v>
      </c>
      <c r="C674" s="8" t="s">
        <v>36</v>
      </c>
      <c r="D674" s="8">
        <f t="shared" ref="D674:M674" si="265">D664</f>
        <v>0</v>
      </c>
      <c r="E674" s="8">
        <f t="shared" si="265"/>
        <v>0</v>
      </c>
      <c r="F674" s="8">
        <f t="shared" si="265"/>
        <v>0</v>
      </c>
      <c r="G674" s="8">
        <f t="shared" si="265"/>
        <v>0</v>
      </c>
      <c r="H674" s="8">
        <f t="shared" si="265"/>
        <v>0</v>
      </c>
      <c r="I674" s="8">
        <f t="shared" si="265"/>
        <v>0</v>
      </c>
      <c r="J674" s="8">
        <f t="shared" si="265"/>
        <v>0</v>
      </c>
      <c r="K674" s="8">
        <f t="shared" si="265"/>
        <v>0</v>
      </c>
      <c r="L674" s="8">
        <f t="shared" si="265"/>
        <v>0</v>
      </c>
      <c r="M674" s="8">
        <f t="shared" si="265"/>
        <v>0</v>
      </c>
      <c r="N674" s="8">
        <f t="shared" si="261"/>
        <v>0</v>
      </c>
      <c r="O674" s="8">
        <f t="shared" si="262"/>
        <v>0</v>
      </c>
      <c r="P674" s="8">
        <f t="shared" si="263"/>
        <v>0</v>
      </c>
      <c r="Q674" s="8">
        <f t="shared" si="264"/>
        <v>0</v>
      </c>
    </row>
    <row r="675" spans="1:17">
      <c r="A675" s="11"/>
      <c r="B675" s="8" t="s">
        <v>236</v>
      </c>
      <c r="C675" s="8" t="s">
        <v>35</v>
      </c>
      <c r="D675" s="8">
        <f t="shared" ref="D675:M675" si="266">SUM(D665:D671)</f>
        <v>0</v>
      </c>
      <c r="E675" s="8">
        <f t="shared" si="266"/>
        <v>11.3181926022059</v>
      </c>
      <c r="F675" s="8">
        <f t="shared" si="266"/>
        <v>0</v>
      </c>
      <c r="G675" s="8">
        <f t="shared" si="266"/>
        <v>35.8228582714491</v>
      </c>
      <c r="H675" s="8">
        <f t="shared" si="266"/>
        <v>0</v>
      </c>
      <c r="I675" s="8">
        <f t="shared" si="266"/>
        <v>11.5323280228846</v>
      </c>
      <c r="J675" s="8">
        <f t="shared" si="266"/>
        <v>0</v>
      </c>
      <c r="K675" s="8">
        <f t="shared" si="266"/>
        <v>16.4852349523634</v>
      </c>
      <c r="L675" s="8">
        <f t="shared" si="266"/>
        <v>17.2781676271934</v>
      </c>
      <c r="M675" s="8">
        <f t="shared" si="266"/>
        <v>78.6086013832517</v>
      </c>
      <c r="N675" s="8">
        <f t="shared" si="261"/>
        <v>9.42821017473101</v>
      </c>
      <c r="O675" s="8">
        <f t="shared" si="262"/>
        <v>24.7808663971386</v>
      </c>
      <c r="P675" s="8">
        <f t="shared" si="263"/>
        <v>3.3824196598764</v>
      </c>
      <c r="Q675" s="8">
        <f t="shared" si="264"/>
        <v>4.68822884291013</v>
      </c>
    </row>
    <row r="676" spans="1:1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8"/>
      <c r="O676" s="8"/>
      <c r="P676" s="11"/>
      <c r="Q676" s="11"/>
    </row>
    <row r="677" spans="1:17">
      <c r="A677" s="11"/>
      <c r="B677" s="8" t="s">
        <v>236</v>
      </c>
      <c r="C677" s="8" t="s">
        <v>37</v>
      </c>
      <c r="D677" s="8">
        <f t="shared" ref="D677:M677" si="267">LOG(D673+1,2)</f>
        <v>0</v>
      </c>
      <c r="E677" s="8">
        <f t="shared" si="267"/>
        <v>0</v>
      </c>
      <c r="F677" s="8">
        <f t="shared" si="267"/>
        <v>0</v>
      </c>
      <c r="G677" s="8">
        <f t="shared" si="267"/>
        <v>3.71454326710484</v>
      </c>
      <c r="H677" s="8">
        <f t="shared" si="267"/>
        <v>0</v>
      </c>
      <c r="I677" s="8">
        <f t="shared" si="267"/>
        <v>0</v>
      </c>
      <c r="J677" s="8">
        <f t="shared" si="267"/>
        <v>2.50577225029082</v>
      </c>
      <c r="K677" s="8">
        <f t="shared" si="267"/>
        <v>0</v>
      </c>
      <c r="L677" s="8">
        <f t="shared" si="267"/>
        <v>4.07843924291404</v>
      </c>
      <c r="M677" s="15">
        <f t="shared" si="267"/>
        <v>0</v>
      </c>
      <c r="N677" s="8"/>
      <c r="O677" s="8"/>
      <c r="P677" s="11"/>
      <c r="Q677" s="11"/>
    </row>
    <row r="678" spans="1:17">
      <c r="A678" s="11"/>
      <c r="B678" s="8" t="s">
        <v>236</v>
      </c>
      <c r="C678" s="8" t="s">
        <v>36</v>
      </c>
      <c r="D678" s="8">
        <f t="shared" ref="D678:M678" si="268">LOG(D674+1,2)</f>
        <v>0</v>
      </c>
      <c r="E678" s="8">
        <f t="shared" si="268"/>
        <v>0</v>
      </c>
      <c r="F678" s="8">
        <f t="shared" si="268"/>
        <v>0</v>
      </c>
      <c r="G678" s="8">
        <f t="shared" si="268"/>
        <v>0</v>
      </c>
      <c r="H678" s="8">
        <f t="shared" si="268"/>
        <v>0</v>
      </c>
      <c r="I678" s="8">
        <f t="shared" si="268"/>
        <v>0</v>
      </c>
      <c r="J678" s="8">
        <f t="shared" si="268"/>
        <v>0</v>
      </c>
      <c r="K678" s="8">
        <f t="shared" si="268"/>
        <v>0</v>
      </c>
      <c r="L678" s="8">
        <f t="shared" si="268"/>
        <v>0</v>
      </c>
      <c r="M678" s="15">
        <f t="shared" si="268"/>
        <v>0</v>
      </c>
      <c r="N678" s="8"/>
      <c r="O678" s="8"/>
      <c r="P678" s="11"/>
      <c r="Q678" s="11"/>
    </row>
    <row r="679" spans="1:17">
      <c r="A679" s="11"/>
      <c r="B679" s="8" t="s">
        <v>236</v>
      </c>
      <c r="C679" s="8" t="s">
        <v>35</v>
      </c>
      <c r="D679" s="8">
        <f t="shared" ref="D679:M679" si="269">LOG(D675+1,2)</f>
        <v>0</v>
      </c>
      <c r="E679" s="8">
        <f t="shared" si="269"/>
        <v>3.62271868573181</v>
      </c>
      <c r="F679" s="8">
        <f t="shared" si="269"/>
        <v>0</v>
      </c>
      <c r="G679" s="8">
        <f t="shared" si="269"/>
        <v>5.20252971109172</v>
      </c>
      <c r="H679" s="8">
        <f t="shared" si="269"/>
        <v>0</v>
      </c>
      <c r="I679" s="8">
        <f t="shared" si="269"/>
        <v>3.64758253150242</v>
      </c>
      <c r="J679" s="8">
        <f t="shared" si="269"/>
        <v>0</v>
      </c>
      <c r="K679" s="8">
        <f t="shared" si="269"/>
        <v>4.12806527681559</v>
      </c>
      <c r="L679" s="8">
        <f t="shared" si="269"/>
        <v>4.19204954341989</v>
      </c>
      <c r="M679" s="15">
        <f t="shared" si="269"/>
        <v>6.31485241136681</v>
      </c>
      <c r="N679" s="8"/>
      <c r="O679" s="8"/>
      <c r="P679" s="11"/>
      <c r="Q679" s="11"/>
    </row>
    <row r="680" spans="1:1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>
      <c r="A682" s="8" t="s">
        <v>242</v>
      </c>
      <c r="B682" s="8" t="s">
        <v>188</v>
      </c>
      <c r="C682" s="8" t="s">
        <v>189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11"/>
      <c r="O682" s="11"/>
      <c r="P682" s="11"/>
      <c r="Q682" s="11"/>
    </row>
    <row r="683" spans="1:17">
      <c r="A683" s="8" t="s">
        <v>242</v>
      </c>
      <c r="B683" s="8" t="s">
        <v>190</v>
      </c>
      <c r="C683" s="8" t="s">
        <v>191</v>
      </c>
      <c r="D683" s="8">
        <v>3.53850824140472</v>
      </c>
      <c r="E683" s="8">
        <v>0</v>
      </c>
      <c r="F683" s="8">
        <v>3.92320280652242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11"/>
      <c r="O683" s="11"/>
      <c r="P683" s="11"/>
      <c r="Q683" s="11"/>
    </row>
    <row r="684" spans="1:17">
      <c r="A684" s="8" t="s">
        <v>242</v>
      </c>
      <c r="B684" s="8" t="s">
        <v>192</v>
      </c>
      <c r="C684" s="8" t="s">
        <v>193</v>
      </c>
      <c r="D684" s="8">
        <v>3.53841846273237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11"/>
      <c r="O684" s="11"/>
      <c r="P684" s="11"/>
      <c r="Q684" s="11"/>
    </row>
    <row r="685" spans="1:17">
      <c r="A685" s="8" t="s">
        <v>242</v>
      </c>
      <c r="B685" s="8" t="s">
        <v>192</v>
      </c>
      <c r="C685" s="8" t="s">
        <v>194</v>
      </c>
      <c r="D685" s="8">
        <v>0</v>
      </c>
      <c r="E685" s="8">
        <v>0</v>
      </c>
      <c r="F685" s="8">
        <v>0</v>
      </c>
      <c r="G685" s="8">
        <v>0</v>
      </c>
      <c r="H685" s="8">
        <v>1.70925821651066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11"/>
      <c r="O685" s="11"/>
      <c r="P685" s="11"/>
      <c r="Q685" s="11"/>
    </row>
    <row r="686" spans="1:17">
      <c r="A686" s="8" t="s">
        <v>242</v>
      </c>
      <c r="B686" s="8" t="s">
        <v>195</v>
      </c>
      <c r="C686" s="8" t="s">
        <v>196</v>
      </c>
      <c r="D686" s="8">
        <v>0</v>
      </c>
      <c r="E686" s="8">
        <v>0</v>
      </c>
      <c r="F686" s="8">
        <v>0</v>
      </c>
      <c r="G686" s="8">
        <v>7.31401678975336</v>
      </c>
      <c r="H686" s="8">
        <v>0</v>
      </c>
      <c r="I686" s="8">
        <v>0</v>
      </c>
      <c r="J686" s="8">
        <v>0</v>
      </c>
      <c r="K686" s="8">
        <v>0</v>
      </c>
      <c r="L686" s="8">
        <v>1.17580978514371</v>
      </c>
      <c r="M686" s="8">
        <v>0</v>
      </c>
      <c r="N686" s="11"/>
      <c r="O686" s="11"/>
      <c r="P686" s="11"/>
      <c r="Q686" s="11"/>
    </row>
    <row r="687" spans="1:17">
      <c r="A687" s="8" t="s">
        <v>242</v>
      </c>
      <c r="B687" s="8" t="s">
        <v>195</v>
      </c>
      <c r="C687" s="8" t="s">
        <v>197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11"/>
      <c r="O687" s="11"/>
      <c r="P687" s="11"/>
      <c r="Q687" s="11"/>
    </row>
    <row r="688" spans="1:17">
      <c r="A688" s="8" t="s">
        <v>242</v>
      </c>
      <c r="B688" s="8" t="s">
        <v>198</v>
      </c>
      <c r="C688" s="8" t="s">
        <v>199</v>
      </c>
      <c r="D688" s="8">
        <v>0</v>
      </c>
      <c r="E688" s="8">
        <v>0</v>
      </c>
      <c r="F688" s="8">
        <v>0</v>
      </c>
      <c r="G688" s="8">
        <v>22.1189427093818</v>
      </c>
      <c r="H688" s="8">
        <v>0</v>
      </c>
      <c r="I688" s="8">
        <v>2.72213066822604</v>
      </c>
      <c r="J688" s="8">
        <v>0</v>
      </c>
      <c r="K688" s="8">
        <v>0</v>
      </c>
      <c r="L688" s="8">
        <v>0</v>
      </c>
      <c r="M688" s="8">
        <v>0</v>
      </c>
      <c r="N688" s="11"/>
      <c r="O688" s="11"/>
      <c r="P688" s="11"/>
      <c r="Q688" s="11"/>
    </row>
    <row r="689" spans="1:17">
      <c r="A689" s="8" t="s">
        <v>242</v>
      </c>
      <c r="B689" s="8" t="s">
        <v>36</v>
      </c>
      <c r="C689" s="8" t="s">
        <v>130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5.68049914075926</v>
      </c>
      <c r="N689" s="11"/>
      <c r="O689" s="11"/>
      <c r="P689" s="11"/>
      <c r="Q689" s="11"/>
    </row>
    <row r="690" spans="1:17">
      <c r="A690" s="8" t="s">
        <v>242</v>
      </c>
      <c r="B690" s="8" t="s">
        <v>200</v>
      </c>
      <c r="C690" s="8" t="s">
        <v>97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2.41391194765131</v>
      </c>
      <c r="K690" s="8">
        <v>0</v>
      </c>
      <c r="L690" s="8">
        <v>0</v>
      </c>
      <c r="M690" s="8">
        <v>0</v>
      </c>
      <c r="N690" s="11"/>
      <c r="O690" s="11"/>
      <c r="P690" s="11"/>
      <c r="Q690" s="11"/>
    </row>
    <row r="691" spans="1:17">
      <c r="A691" s="8" t="s">
        <v>242</v>
      </c>
      <c r="B691" s="8" t="s">
        <v>200</v>
      </c>
      <c r="C691" s="8" t="s">
        <v>98</v>
      </c>
      <c r="D691" s="8">
        <v>0</v>
      </c>
      <c r="E691" s="8">
        <v>0</v>
      </c>
      <c r="F691" s="8">
        <v>0</v>
      </c>
      <c r="G691" s="8">
        <v>2.48507473821111</v>
      </c>
      <c r="H691" s="8">
        <v>0</v>
      </c>
      <c r="I691" s="8">
        <v>0</v>
      </c>
      <c r="J691" s="8">
        <v>5.30016718354765</v>
      </c>
      <c r="K691" s="8">
        <v>8.74993778689811</v>
      </c>
      <c r="L691" s="8">
        <v>1.24568081635381</v>
      </c>
      <c r="M691" s="8">
        <v>0</v>
      </c>
      <c r="N691" s="11"/>
      <c r="O691" s="11"/>
      <c r="P691" s="11"/>
      <c r="Q691" s="11"/>
    </row>
    <row r="692" spans="1:17">
      <c r="A692" s="8" t="s">
        <v>242</v>
      </c>
      <c r="B692" s="8" t="s">
        <v>200</v>
      </c>
      <c r="C692" s="8" t="s">
        <v>95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9.3924931705395</v>
      </c>
      <c r="L692" s="8">
        <v>0</v>
      </c>
      <c r="M692" s="8">
        <v>0</v>
      </c>
      <c r="N692" s="11"/>
      <c r="O692" s="11"/>
      <c r="P692" s="11"/>
      <c r="Q692" s="11"/>
    </row>
    <row r="693" spans="1:17">
      <c r="A693" s="8" t="s">
        <v>242</v>
      </c>
      <c r="B693" s="8" t="s">
        <v>200</v>
      </c>
      <c r="C693" s="8" t="s">
        <v>93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11"/>
      <c r="O693" s="11"/>
      <c r="P693" s="11"/>
      <c r="Q693" s="11"/>
    </row>
    <row r="694" spans="1:17">
      <c r="A694" s="8" t="s">
        <v>242</v>
      </c>
      <c r="B694" s="8" t="s">
        <v>200</v>
      </c>
      <c r="C694" s="8" t="s">
        <v>96</v>
      </c>
      <c r="D694" s="8">
        <v>0</v>
      </c>
      <c r="E694" s="8">
        <v>0</v>
      </c>
      <c r="F694" s="8">
        <v>0</v>
      </c>
      <c r="G694" s="8">
        <v>1.69541289089601</v>
      </c>
      <c r="H694" s="8">
        <v>0</v>
      </c>
      <c r="I694" s="8">
        <v>0</v>
      </c>
      <c r="J694" s="8">
        <v>0</v>
      </c>
      <c r="K694" s="8">
        <v>0</v>
      </c>
      <c r="L694" s="8">
        <v>4.70828510121686</v>
      </c>
      <c r="M694" s="8">
        <v>0</v>
      </c>
      <c r="N694" s="11"/>
      <c r="O694" s="11"/>
      <c r="P694" s="11"/>
      <c r="Q694" s="11"/>
    </row>
    <row r="695" spans="1:17">
      <c r="A695" s="8" t="s">
        <v>242</v>
      </c>
      <c r="B695" s="8" t="s">
        <v>200</v>
      </c>
      <c r="C695" s="8" t="s">
        <v>94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10.9507487187849</v>
      </c>
      <c r="L695" s="8">
        <v>0</v>
      </c>
      <c r="M695" s="8">
        <v>0</v>
      </c>
      <c r="N695" s="11"/>
      <c r="O695" s="11"/>
      <c r="P695" s="11"/>
      <c r="Q695" s="11"/>
    </row>
    <row r="696" spans="1:17">
      <c r="A696" s="8" t="s">
        <v>242</v>
      </c>
      <c r="B696" s="8" t="s">
        <v>201</v>
      </c>
      <c r="C696" s="8" t="s">
        <v>202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11"/>
      <c r="O696" s="11"/>
      <c r="P696" s="11"/>
      <c r="Q696" s="11"/>
    </row>
    <row r="697" spans="1:17">
      <c r="A697" s="11"/>
      <c r="B697" s="11"/>
      <c r="C697" s="11"/>
      <c r="D697" s="2" t="s">
        <v>185</v>
      </c>
      <c r="E697" s="3"/>
      <c r="F697" s="3"/>
      <c r="G697" s="3"/>
      <c r="H697" s="4"/>
      <c r="I697" s="5" t="s">
        <v>186</v>
      </c>
      <c r="J697" s="6"/>
      <c r="K697" s="6"/>
      <c r="L697" s="6"/>
      <c r="M697" s="7"/>
      <c r="N697" s="8" t="s">
        <v>203</v>
      </c>
      <c r="O697" s="8" t="s">
        <v>203</v>
      </c>
      <c r="P697" s="8" t="s">
        <v>248</v>
      </c>
      <c r="Q697" s="8" t="s">
        <v>248</v>
      </c>
    </row>
    <row r="698" spans="1:17">
      <c r="A698" s="11"/>
      <c r="B698" s="8" t="s">
        <v>242</v>
      </c>
      <c r="C698" s="8" t="s">
        <v>37</v>
      </c>
      <c r="D698" s="8">
        <f t="shared" ref="D698:M698" si="270">SUM(D682:D688)</f>
        <v>7.0769267041371</v>
      </c>
      <c r="E698" s="8">
        <f t="shared" si="270"/>
        <v>0</v>
      </c>
      <c r="F698" s="8">
        <f t="shared" si="270"/>
        <v>3.92320280652242</v>
      </c>
      <c r="G698" s="8">
        <f t="shared" si="270"/>
        <v>29.4329594991351</v>
      </c>
      <c r="H698" s="8">
        <f t="shared" si="270"/>
        <v>1.70925821651066</v>
      </c>
      <c r="I698" s="8">
        <f t="shared" si="270"/>
        <v>2.72213066822604</v>
      </c>
      <c r="J698" s="8">
        <f t="shared" si="270"/>
        <v>0</v>
      </c>
      <c r="K698" s="8">
        <f t="shared" si="270"/>
        <v>0</v>
      </c>
      <c r="L698" s="8">
        <f t="shared" si="270"/>
        <v>1.17580978514371</v>
      </c>
      <c r="M698" s="8">
        <f t="shared" si="270"/>
        <v>0</v>
      </c>
      <c r="N698" s="8">
        <f t="shared" ref="N698:N700" si="271">AVERAGE(D698:H698)</f>
        <v>8.42846944526106</v>
      </c>
      <c r="O698" s="8">
        <f t="shared" ref="O698:O700" si="272">AVERAGE(I698:M698)</f>
        <v>0.779588090673949</v>
      </c>
      <c r="P698" s="8">
        <f t="shared" ref="P698:P700" si="273">LOG(N698+1,2)</f>
        <v>3.23702359243293</v>
      </c>
      <c r="Q698" s="8">
        <f t="shared" ref="Q698:Q700" si="274">LOG(O698+1,2)</f>
        <v>0.831543348881943</v>
      </c>
    </row>
    <row r="699" spans="1:17">
      <c r="A699" s="11"/>
      <c r="B699" s="8" t="s">
        <v>242</v>
      </c>
      <c r="C699" s="8" t="s">
        <v>36</v>
      </c>
      <c r="D699" s="8">
        <f t="shared" ref="D699:M699" si="275">D689</f>
        <v>0</v>
      </c>
      <c r="E699" s="8">
        <f t="shared" si="275"/>
        <v>0</v>
      </c>
      <c r="F699" s="8">
        <f t="shared" si="275"/>
        <v>0</v>
      </c>
      <c r="G699" s="8">
        <f t="shared" si="275"/>
        <v>0</v>
      </c>
      <c r="H699" s="8">
        <f t="shared" si="275"/>
        <v>0</v>
      </c>
      <c r="I699" s="8">
        <f t="shared" si="275"/>
        <v>0</v>
      </c>
      <c r="J699" s="8">
        <f t="shared" si="275"/>
        <v>0</v>
      </c>
      <c r="K699" s="8">
        <f t="shared" si="275"/>
        <v>0</v>
      </c>
      <c r="L699" s="8">
        <f t="shared" si="275"/>
        <v>0</v>
      </c>
      <c r="M699" s="8">
        <f t="shared" si="275"/>
        <v>5.68049914075926</v>
      </c>
      <c r="N699" s="8">
        <f t="shared" si="271"/>
        <v>0</v>
      </c>
      <c r="O699" s="8">
        <f t="shared" si="272"/>
        <v>1.13609982815185</v>
      </c>
      <c r="P699" s="8">
        <f t="shared" si="273"/>
        <v>0</v>
      </c>
      <c r="Q699" s="8">
        <f t="shared" si="274"/>
        <v>1.09497907128306</v>
      </c>
    </row>
    <row r="700" spans="1:17">
      <c r="A700" s="11"/>
      <c r="B700" s="8" t="s">
        <v>242</v>
      </c>
      <c r="C700" s="8" t="s">
        <v>35</v>
      </c>
      <c r="D700" s="8">
        <f t="shared" ref="D700:M700" si="276">SUM(D690:D696)</f>
        <v>0</v>
      </c>
      <c r="E700" s="8">
        <f t="shared" si="276"/>
        <v>0</v>
      </c>
      <c r="F700" s="8">
        <f t="shared" si="276"/>
        <v>0</v>
      </c>
      <c r="G700" s="8">
        <f t="shared" si="276"/>
        <v>4.18048762910712</v>
      </c>
      <c r="H700" s="8">
        <f t="shared" si="276"/>
        <v>0</v>
      </c>
      <c r="I700" s="8">
        <f t="shared" si="276"/>
        <v>0</v>
      </c>
      <c r="J700" s="8">
        <f t="shared" si="276"/>
        <v>7.71407913119896</v>
      </c>
      <c r="K700" s="8">
        <f t="shared" si="276"/>
        <v>29.0931796762225</v>
      </c>
      <c r="L700" s="8">
        <f t="shared" si="276"/>
        <v>5.95396591757067</v>
      </c>
      <c r="M700" s="8">
        <f t="shared" si="276"/>
        <v>0</v>
      </c>
      <c r="N700" s="8">
        <f t="shared" si="271"/>
        <v>0.836097525821424</v>
      </c>
      <c r="O700" s="8">
        <f t="shared" si="272"/>
        <v>8.55224494499842</v>
      </c>
      <c r="P700" s="8">
        <f t="shared" si="273"/>
        <v>0.876642690713683</v>
      </c>
      <c r="Q700" s="8">
        <f t="shared" si="274"/>
        <v>3.25583983161985</v>
      </c>
    </row>
    <row r="701" spans="1:1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8"/>
      <c r="O701" s="8"/>
      <c r="P701" s="11"/>
      <c r="Q701" s="11"/>
    </row>
    <row r="702" spans="1:17">
      <c r="A702" s="11"/>
      <c r="B702" s="8" t="s">
        <v>242</v>
      </c>
      <c r="C702" s="8" t="s">
        <v>37</v>
      </c>
      <c r="D702" s="8">
        <f t="shared" ref="D702:M702" si="277">LOG(D698+1,2)</f>
        <v>3.01380644741563</v>
      </c>
      <c r="E702" s="8">
        <f t="shared" si="277"/>
        <v>0</v>
      </c>
      <c r="F702" s="8">
        <f t="shared" si="277"/>
        <v>2.29959717120748</v>
      </c>
      <c r="G702" s="8">
        <f t="shared" si="277"/>
        <v>4.92756273262139</v>
      </c>
      <c r="H702" s="8">
        <f t="shared" si="277"/>
        <v>1.43789790181835</v>
      </c>
      <c r="I702" s="8">
        <f t="shared" si="277"/>
        <v>1.89612870319199</v>
      </c>
      <c r="J702" s="8">
        <f t="shared" si="277"/>
        <v>0</v>
      </c>
      <c r="K702" s="8">
        <f t="shared" si="277"/>
        <v>0</v>
      </c>
      <c r="L702" s="8">
        <f t="shared" si="277"/>
        <v>1.12155243801065</v>
      </c>
      <c r="M702" s="15">
        <f t="shared" si="277"/>
        <v>0</v>
      </c>
      <c r="N702" s="8"/>
      <c r="O702" s="8"/>
      <c r="P702" s="11"/>
      <c r="Q702" s="11"/>
    </row>
    <row r="703" spans="1:17">
      <c r="A703" s="11"/>
      <c r="B703" s="8" t="s">
        <v>242</v>
      </c>
      <c r="C703" s="8" t="s">
        <v>36</v>
      </c>
      <c r="D703" s="8">
        <f t="shared" ref="D703:M703" si="278">LOG(D699+1,2)</f>
        <v>0</v>
      </c>
      <c r="E703" s="8">
        <f t="shared" si="278"/>
        <v>0</v>
      </c>
      <c r="F703" s="8">
        <f t="shared" si="278"/>
        <v>0</v>
      </c>
      <c r="G703" s="8">
        <f t="shared" si="278"/>
        <v>0</v>
      </c>
      <c r="H703" s="8">
        <f t="shared" si="278"/>
        <v>0</v>
      </c>
      <c r="I703" s="8">
        <f t="shared" si="278"/>
        <v>0</v>
      </c>
      <c r="J703" s="8">
        <f t="shared" si="278"/>
        <v>0</v>
      </c>
      <c r="K703" s="8">
        <f t="shared" si="278"/>
        <v>0</v>
      </c>
      <c r="L703" s="8">
        <f t="shared" si="278"/>
        <v>0</v>
      </c>
      <c r="M703" s="15">
        <f t="shared" si="278"/>
        <v>2.73995589925555</v>
      </c>
      <c r="N703" s="8"/>
      <c r="O703" s="8"/>
      <c r="P703" s="11"/>
      <c r="Q703" s="11"/>
    </row>
    <row r="704" spans="1:17">
      <c r="A704" s="11"/>
      <c r="B704" s="8" t="s">
        <v>242</v>
      </c>
      <c r="C704" s="8" t="s">
        <v>35</v>
      </c>
      <c r="D704" s="8">
        <f t="shared" ref="D704:M704" si="279">LOG(D700+1,2)</f>
        <v>0</v>
      </c>
      <c r="E704" s="8">
        <f t="shared" si="279"/>
        <v>0</v>
      </c>
      <c r="F704" s="8">
        <f t="shared" si="279"/>
        <v>0</v>
      </c>
      <c r="G704" s="8">
        <f t="shared" si="279"/>
        <v>2.37308790234891</v>
      </c>
      <c r="H704" s="8">
        <f t="shared" si="279"/>
        <v>0</v>
      </c>
      <c r="I704" s="8">
        <f t="shared" si="279"/>
        <v>0</v>
      </c>
      <c r="J704" s="8">
        <f t="shared" si="279"/>
        <v>3.12334821420212</v>
      </c>
      <c r="K704" s="8">
        <f t="shared" si="279"/>
        <v>4.91136464624986</v>
      </c>
      <c r="L704" s="8">
        <f t="shared" si="279"/>
        <v>2.79783599621822</v>
      </c>
      <c r="M704" s="15">
        <f t="shared" si="279"/>
        <v>0</v>
      </c>
      <c r="N704" s="8"/>
      <c r="O704" s="8"/>
      <c r="P704" s="11"/>
      <c r="Q704" s="11"/>
    </row>
    <row r="705" spans="1:1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>
      <c r="A707" s="8" t="s">
        <v>239</v>
      </c>
      <c r="B707" s="8" t="s">
        <v>188</v>
      </c>
      <c r="C707" s="8" t="s">
        <v>189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11"/>
      <c r="O707" s="11"/>
      <c r="P707" s="11"/>
      <c r="Q707" s="11"/>
    </row>
    <row r="708" spans="1:17">
      <c r="A708" s="8" t="s">
        <v>239</v>
      </c>
      <c r="B708" s="8" t="s">
        <v>190</v>
      </c>
      <c r="C708" s="8" t="s">
        <v>191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11"/>
      <c r="O708" s="11"/>
      <c r="P708" s="11"/>
      <c r="Q708" s="11"/>
    </row>
    <row r="709" spans="1:17">
      <c r="A709" s="8" t="s">
        <v>239</v>
      </c>
      <c r="B709" s="8" t="s">
        <v>192</v>
      </c>
      <c r="C709" s="8" t="s">
        <v>193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11"/>
      <c r="O709" s="11"/>
      <c r="P709" s="11"/>
      <c r="Q709" s="11"/>
    </row>
    <row r="710" spans="1:17">
      <c r="A710" s="8" t="s">
        <v>239</v>
      </c>
      <c r="B710" s="8" t="s">
        <v>192</v>
      </c>
      <c r="C710" s="8" t="s">
        <v>194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11"/>
      <c r="O710" s="11"/>
      <c r="P710" s="11"/>
      <c r="Q710" s="11"/>
    </row>
    <row r="711" spans="1:17">
      <c r="A711" s="8" t="s">
        <v>239</v>
      </c>
      <c r="B711" s="8" t="s">
        <v>195</v>
      </c>
      <c r="C711" s="8" t="s">
        <v>196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11"/>
      <c r="O711" s="11"/>
      <c r="P711" s="11"/>
      <c r="Q711" s="11"/>
    </row>
    <row r="712" spans="1:17">
      <c r="A712" s="8" t="s">
        <v>239</v>
      </c>
      <c r="B712" s="8" t="s">
        <v>195</v>
      </c>
      <c r="C712" s="8" t="s">
        <v>197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11"/>
      <c r="O712" s="11"/>
      <c r="P712" s="11"/>
      <c r="Q712" s="11"/>
    </row>
    <row r="713" spans="1:17">
      <c r="A713" s="8" t="s">
        <v>239</v>
      </c>
      <c r="B713" s="8" t="s">
        <v>198</v>
      </c>
      <c r="C713" s="8" t="s">
        <v>199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11"/>
      <c r="O713" s="11"/>
      <c r="P713" s="11"/>
      <c r="Q713" s="11"/>
    </row>
    <row r="714" spans="1:17">
      <c r="A714" s="8" t="s">
        <v>239</v>
      </c>
      <c r="B714" s="8" t="s">
        <v>36</v>
      </c>
      <c r="C714" s="8" t="s">
        <v>130</v>
      </c>
      <c r="D714" s="8">
        <v>0</v>
      </c>
      <c r="E714" s="8">
        <v>0</v>
      </c>
      <c r="F714" s="8">
        <v>0</v>
      </c>
      <c r="G714" s="8">
        <v>0</v>
      </c>
      <c r="H714" s="8">
        <v>2.90856929449311</v>
      </c>
      <c r="I714" s="8">
        <v>0</v>
      </c>
      <c r="J714" s="8">
        <v>6.42135659377863</v>
      </c>
      <c r="K714" s="8">
        <v>0</v>
      </c>
      <c r="L714" s="8">
        <v>0</v>
      </c>
      <c r="M714" s="8">
        <v>0</v>
      </c>
      <c r="N714" s="11"/>
      <c r="O714" s="11"/>
      <c r="P714" s="11"/>
      <c r="Q714" s="11"/>
    </row>
    <row r="715" spans="1:17">
      <c r="A715" s="8" t="s">
        <v>239</v>
      </c>
      <c r="B715" s="8" t="s">
        <v>200</v>
      </c>
      <c r="C715" s="8" t="s">
        <v>97</v>
      </c>
      <c r="D715" s="8">
        <v>0</v>
      </c>
      <c r="E715" s="8">
        <v>0</v>
      </c>
      <c r="F715" s="8">
        <v>0</v>
      </c>
      <c r="G715" s="8">
        <v>4.34781307106455</v>
      </c>
      <c r="H715" s="8">
        <v>0</v>
      </c>
      <c r="I715" s="8">
        <v>0</v>
      </c>
      <c r="J715" s="8">
        <v>59.0146610169491</v>
      </c>
      <c r="K715" s="8">
        <v>15.5234994998618</v>
      </c>
      <c r="L715" s="8">
        <v>32.6271714512972</v>
      </c>
      <c r="M715" s="8">
        <v>0</v>
      </c>
      <c r="N715" s="11"/>
      <c r="O715" s="11"/>
      <c r="P715" s="11"/>
      <c r="Q715" s="11"/>
    </row>
    <row r="716" spans="1:17">
      <c r="A716" s="8" t="s">
        <v>239</v>
      </c>
      <c r="B716" s="8" t="s">
        <v>200</v>
      </c>
      <c r="C716" s="8" t="s">
        <v>98</v>
      </c>
      <c r="D716" s="8">
        <v>0</v>
      </c>
      <c r="E716" s="8">
        <v>42.9809630165849</v>
      </c>
      <c r="F716" s="8">
        <v>7.36684231276532</v>
      </c>
      <c r="G716" s="8">
        <v>6.52412619410402</v>
      </c>
      <c r="H716" s="8">
        <v>40.9928440857818</v>
      </c>
      <c r="I716" s="8">
        <v>0</v>
      </c>
      <c r="J716" s="8">
        <v>59.0536357081025</v>
      </c>
      <c r="K716" s="8">
        <v>1.42359827265053</v>
      </c>
      <c r="L716" s="8">
        <v>16.5438734361159</v>
      </c>
      <c r="M716" s="8">
        <v>2.00797205285499</v>
      </c>
      <c r="N716" s="11"/>
      <c r="O716" s="11"/>
      <c r="P716" s="11"/>
      <c r="Q716" s="11"/>
    </row>
    <row r="717" spans="1:17">
      <c r="A717" s="8" t="s">
        <v>239</v>
      </c>
      <c r="B717" s="8" t="s">
        <v>200</v>
      </c>
      <c r="C717" s="8" t="s">
        <v>95</v>
      </c>
      <c r="D717" s="8">
        <v>0</v>
      </c>
      <c r="E717" s="8">
        <v>19.3512155443962</v>
      </c>
      <c r="F717" s="8">
        <v>0</v>
      </c>
      <c r="G717" s="8">
        <v>5.58665551528668</v>
      </c>
      <c r="H717" s="8">
        <v>46.3743178372916</v>
      </c>
      <c r="I717" s="8">
        <v>0</v>
      </c>
      <c r="J717" s="8">
        <v>0</v>
      </c>
      <c r="K717" s="8">
        <v>10.7135966331546</v>
      </c>
      <c r="L717" s="8">
        <v>9.81036467076784</v>
      </c>
      <c r="M717" s="8">
        <v>2.87173364542063</v>
      </c>
      <c r="N717" s="11"/>
      <c r="O717" s="11"/>
      <c r="P717" s="11"/>
      <c r="Q717" s="11"/>
    </row>
    <row r="718" spans="1:17">
      <c r="A718" s="8" t="s">
        <v>239</v>
      </c>
      <c r="B718" s="8" t="s">
        <v>200</v>
      </c>
      <c r="C718" s="8" t="s">
        <v>93</v>
      </c>
      <c r="D718" s="8">
        <v>0</v>
      </c>
      <c r="E718" s="8">
        <v>11.1792846216541</v>
      </c>
      <c r="F718" s="8">
        <v>0</v>
      </c>
      <c r="G718" s="8">
        <v>8.74180466560647</v>
      </c>
      <c r="H718" s="8">
        <v>50.5431265508685</v>
      </c>
      <c r="I718" s="8">
        <v>0</v>
      </c>
      <c r="J718" s="8">
        <v>0</v>
      </c>
      <c r="K718" s="8">
        <v>7.51712028215891</v>
      </c>
      <c r="L718" s="8">
        <v>6.44470445074519</v>
      </c>
      <c r="M718" s="8">
        <v>5.64461984805054</v>
      </c>
      <c r="N718" s="11"/>
      <c r="O718" s="11"/>
      <c r="P718" s="11"/>
      <c r="Q718" s="11"/>
    </row>
    <row r="719" spans="1:17">
      <c r="A719" s="8" t="s">
        <v>239</v>
      </c>
      <c r="B719" s="8" t="s">
        <v>200</v>
      </c>
      <c r="C719" s="8" t="s">
        <v>96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8.6486834571746</v>
      </c>
      <c r="N719" s="11"/>
      <c r="O719" s="11"/>
      <c r="P719" s="11"/>
      <c r="Q719" s="11"/>
    </row>
    <row r="720" spans="1:17">
      <c r="A720" s="8" t="s">
        <v>239</v>
      </c>
      <c r="B720" s="8" t="s">
        <v>200</v>
      </c>
      <c r="C720" s="8" t="s">
        <v>94</v>
      </c>
      <c r="D720" s="8">
        <v>0</v>
      </c>
      <c r="E720" s="8">
        <v>4.7559937773262</v>
      </c>
      <c r="F720" s="8">
        <v>3.89890786688617</v>
      </c>
      <c r="G720" s="8">
        <v>14.8317238362155</v>
      </c>
      <c r="H720" s="8">
        <v>160.421270838798</v>
      </c>
      <c r="I720" s="8">
        <v>1.48729536340668</v>
      </c>
      <c r="J720" s="8">
        <v>0</v>
      </c>
      <c r="K720" s="8">
        <v>1.27516828850847</v>
      </c>
      <c r="L720" s="8">
        <v>3.68127421632383</v>
      </c>
      <c r="M720" s="8">
        <v>1.53549204716816</v>
      </c>
      <c r="N720" s="11"/>
      <c r="O720" s="11"/>
      <c r="P720" s="11"/>
      <c r="Q720" s="11"/>
    </row>
    <row r="721" spans="1:17">
      <c r="A721" s="8" t="s">
        <v>239</v>
      </c>
      <c r="B721" s="8" t="s">
        <v>201</v>
      </c>
      <c r="C721" s="8" t="s">
        <v>202</v>
      </c>
      <c r="D721" s="8">
        <v>0</v>
      </c>
      <c r="E721" s="8">
        <v>37.9633238129277</v>
      </c>
      <c r="F721" s="8">
        <v>0</v>
      </c>
      <c r="G721" s="8">
        <v>48.1376587682072</v>
      </c>
      <c r="H721" s="8">
        <v>86.3817190111727</v>
      </c>
      <c r="I721" s="8">
        <v>92.2480100169838</v>
      </c>
      <c r="J721" s="8">
        <v>112.126421533468</v>
      </c>
      <c r="K721" s="8">
        <v>69.5238438334827</v>
      </c>
      <c r="L721" s="8">
        <v>30.325166088789</v>
      </c>
      <c r="M721" s="8">
        <v>46.4306129326368</v>
      </c>
      <c r="N721" s="11"/>
      <c r="O721" s="11"/>
      <c r="P721" s="11"/>
      <c r="Q721" s="11"/>
    </row>
    <row r="722" spans="1:17">
      <c r="A722" s="11"/>
      <c r="B722" s="11"/>
      <c r="C722" s="11"/>
      <c r="D722" s="2" t="s">
        <v>185</v>
      </c>
      <c r="E722" s="3"/>
      <c r="F722" s="3"/>
      <c r="G722" s="3"/>
      <c r="H722" s="4"/>
      <c r="I722" s="5" t="s">
        <v>186</v>
      </c>
      <c r="J722" s="6"/>
      <c r="K722" s="6"/>
      <c r="L722" s="6"/>
      <c r="M722" s="7"/>
      <c r="N722" s="8" t="s">
        <v>203</v>
      </c>
      <c r="O722" s="8" t="s">
        <v>203</v>
      </c>
      <c r="P722" s="8" t="s">
        <v>248</v>
      </c>
      <c r="Q722" s="8" t="s">
        <v>248</v>
      </c>
    </row>
    <row r="723" spans="1:17">
      <c r="A723" s="11"/>
      <c r="B723" s="8" t="s">
        <v>239</v>
      </c>
      <c r="C723" s="8" t="s">
        <v>37</v>
      </c>
      <c r="D723" s="8">
        <f t="shared" ref="D723:M723" si="280">SUM(D707:D713)</f>
        <v>0</v>
      </c>
      <c r="E723" s="8">
        <f t="shared" si="280"/>
        <v>0</v>
      </c>
      <c r="F723" s="8">
        <f t="shared" si="280"/>
        <v>0</v>
      </c>
      <c r="G723" s="8">
        <f t="shared" si="280"/>
        <v>0</v>
      </c>
      <c r="H723" s="8">
        <f t="shared" si="280"/>
        <v>0</v>
      </c>
      <c r="I723" s="8">
        <f t="shared" si="280"/>
        <v>0</v>
      </c>
      <c r="J723" s="8">
        <f t="shared" si="280"/>
        <v>0</v>
      </c>
      <c r="K723" s="8">
        <f t="shared" si="280"/>
        <v>0</v>
      </c>
      <c r="L723" s="8">
        <f t="shared" si="280"/>
        <v>0</v>
      </c>
      <c r="M723" s="8">
        <f t="shared" si="280"/>
        <v>0</v>
      </c>
      <c r="N723" s="8">
        <f t="shared" ref="N723:N725" si="281">AVERAGE(D723:H723)</f>
        <v>0</v>
      </c>
      <c r="O723" s="8">
        <f t="shared" ref="O723:O725" si="282">AVERAGE(I723:M723)</f>
        <v>0</v>
      </c>
      <c r="P723" s="8">
        <f t="shared" ref="P723:P725" si="283">LOG(N723+1,2)</f>
        <v>0</v>
      </c>
      <c r="Q723" s="8">
        <f t="shared" ref="Q723:Q725" si="284">LOG(O723+1,2)</f>
        <v>0</v>
      </c>
    </row>
    <row r="724" spans="1:17">
      <c r="A724" s="11"/>
      <c r="B724" s="8" t="s">
        <v>239</v>
      </c>
      <c r="C724" s="8" t="s">
        <v>36</v>
      </c>
      <c r="D724" s="8">
        <f t="shared" ref="D724:M724" si="285">D714</f>
        <v>0</v>
      </c>
      <c r="E724" s="8">
        <f t="shared" si="285"/>
        <v>0</v>
      </c>
      <c r="F724" s="8">
        <f t="shared" si="285"/>
        <v>0</v>
      </c>
      <c r="G724" s="8">
        <f t="shared" si="285"/>
        <v>0</v>
      </c>
      <c r="H724" s="8">
        <f t="shared" si="285"/>
        <v>2.90856929449311</v>
      </c>
      <c r="I724" s="8">
        <f t="shared" si="285"/>
        <v>0</v>
      </c>
      <c r="J724" s="8">
        <f t="shared" si="285"/>
        <v>6.42135659377863</v>
      </c>
      <c r="K724" s="8">
        <f t="shared" si="285"/>
        <v>0</v>
      </c>
      <c r="L724" s="8">
        <f t="shared" si="285"/>
        <v>0</v>
      </c>
      <c r="M724" s="8">
        <f t="shared" si="285"/>
        <v>0</v>
      </c>
      <c r="N724" s="8">
        <f t="shared" si="281"/>
        <v>0.581713858898622</v>
      </c>
      <c r="O724" s="8">
        <f t="shared" si="282"/>
        <v>1.28427131875573</v>
      </c>
      <c r="P724" s="8">
        <f t="shared" si="283"/>
        <v>0.661488631614787</v>
      </c>
      <c r="Q724" s="8">
        <f t="shared" si="284"/>
        <v>1.19173401977958</v>
      </c>
    </row>
    <row r="725" spans="1:17">
      <c r="A725" s="11"/>
      <c r="B725" s="8" t="s">
        <v>239</v>
      </c>
      <c r="C725" s="8" t="s">
        <v>35</v>
      </c>
      <c r="D725" s="8">
        <f t="shared" ref="D725:M725" si="286">SUM(D715:D721)</f>
        <v>0</v>
      </c>
      <c r="E725" s="8">
        <f t="shared" si="286"/>
        <v>116.230780772889</v>
      </c>
      <c r="F725" s="8">
        <f t="shared" si="286"/>
        <v>11.2657501796515</v>
      </c>
      <c r="G725" s="8">
        <f t="shared" si="286"/>
        <v>88.1697820504844</v>
      </c>
      <c r="H725" s="8">
        <f t="shared" si="286"/>
        <v>384.713278323913</v>
      </c>
      <c r="I725" s="8">
        <f t="shared" si="286"/>
        <v>93.7353053803905</v>
      </c>
      <c r="J725" s="8">
        <f t="shared" si="286"/>
        <v>230.19471825852</v>
      </c>
      <c r="K725" s="8">
        <f t="shared" si="286"/>
        <v>105.976826809817</v>
      </c>
      <c r="L725" s="8">
        <f t="shared" si="286"/>
        <v>99.4325543140389</v>
      </c>
      <c r="M725" s="8">
        <f t="shared" si="286"/>
        <v>67.1391139833057</v>
      </c>
      <c r="N725" s="8">
        <f t="shared" si="281"/>
        <v>120.075918265388</v>
      </c>
      <c r="O725" s="8">
        <f t="shared" si="282"/>
        <v>119.295703749214</v>
      </c>
      <c r="P725" s="8">
        <f t="shared" si="283"/>
        <v>6.91976813446026</v>
      </c>
      <c r="Q725" s="8">
        <f t="shared" si="284"/>
        <v>6.91044130867789</v>
      </c>
    </row>
    <row r="726" spans="1:1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8"/>
      <c r="O726" s="8"/>
      <c r="P726" s="11"/>
      <c r="Q726" s="11"/>
    </row>
    <row r="727" spans="1:17">
      <c r="A727" s="11"/>
      <c r="B727" s="8" t="s">
        <v>239</v>
      </c>
      <c r="C727" s="8" t="s">
        <v>37</v>
      </c>
      <c r="D727" s="8">
        <f t="shared" ref="D727:M727" si="287">LOG(D723+1,2)</f>
        <v>0</v>
      </c>
      <c r="E727" s="8">
        <f t="shared" si="287"/>
        <v>0</v>
      </c>
      <c r="F727" s="8">
        <f t="shared" si="287"/>
        <v>0</v>
      </c>
      <c r="G727" s="8">
        <f t="shared" si="287"/>
        <v>0</v>
      </c>
      <c r="H727" s="8">
        <f t="shared" si="287"/>
        <v>0</v>
      </c>
      <c r="I727" s="8">
        <f t="shared" si="287"/>
        <v>0</v>
      </c>
      <c r="J727" s="8">
        <f t="shared" si="287"/>
        <v>0</v>
      </c>
      <c r="K727" s="8">
        <f t="shared" si="287"/>
        <v>0</v>
      </c>
      <c r="L727" s="8">
        <f t="shared" si="287"/>
        <v>0</v>
      </c>
      <c r="M727" s="15">
        <f t="shared" si="287"/>
        <v>0</v>
      </c>
      <c r="N727" s="8"/>
      <c r="O727" s="8"/>
      <c r="P727" s="11"/>
      <c r="Q727" s="11"/>
    </row>
    <row r="728" spans="1:17">
      <c r="A728" s="11"/>
      <c r="B728" s="8" t="s">
        <v>239</v>
      </c>
      <c r="C728" s="8" t="s">
        <v>36</v>
      </c>
      <c r="D728" s="8">
        <f t="shared" ref="D728:M728" si="288">LOG(D724+1,2)</f>
        <v>0</v>
      </c>
      <c r="E728" s="8">
        <f t="shared" si="288"/>
        <v>0</v>
      </c>
      <c r="F728" s="8">
        <f t="shared" si="288"/>
        <v>0</v>
      </c>
      <c r="G728" s="8">
        <f t="shared" si="288"/>
        <v>0</v>
      </c>
      <c r="H728" s="8">
        <f t="shared" si="288"/>
        <v>1.96664061534248</v>
      </c>
      <c r="I728" s="8">
        <f t="shared" si="288"/>
        <v>0</v>
      </c>
      <c r="J728" s="8">
        <f t="shared" si="288"/>
        <v>2.89168292973373</v>
      </c>
      <c r="K728" s="8">
        <f t="shared" si="288"/>
        <v>0</v>
      </c>
      <c r="L728" s="8">
        <f t="shared" si="288"/>
        <v>0</v>
      </c>
      <c r="M728" s="15">
        <f t="shared" si="288"/>
        <v>0</v>
      </c>
      <c r="N728" s="8"/>
      <c r="O728" s="8"/>
      <c r="P728" s="11"/>
      <c r="Q728" s="11"/>
    </row>
    <row r="729" spans="1:17">
      <c r="A729" s="11"/>
      <c r="B729" s="8" t="s">
        <v>239</v>
      </c>
      <c r="C729" s="8" t="s">
        <v>35</v>
      </c>
      <c r="D729" s="8">
        <f t="shared" ref="D729:M729" si="289">LOG(D725+1,2)</f>
        <v>0</v>
      </c>
      <c r="E729" s="8">
        <f t="shared" si="289"/>
        <v>6.87320761139479</v>
      </c>
      <c r="F729" s="8">
        <f t="shared" si="289"/>
        <v>3.61656356745926</v>
      </c>
      <c r="G729" s="8">
        <f t="shared" si="289"/>
        <v>6.4784829858414</v>
      </c>
      <c r="H729" s="8">
        <f t="shared" si="289"/>
        <v>8.59138500191283</v>
      </c>
      <c r="I729" s="8">
        <f t="shared" si="289"/>
        <v>6.56583027564937</v>
      </c>
      <c r="J729" s="8">
        <f t="shared" si="289"/>
        <v>7.85296462900916</v>
      </c>
      <c r="K729" s="8">
        <f t="shared" si="289"/>
        <v>6.74115450539853</v>
      </c>
      <c r="L729" s="8">
        <f t="shared" si="289"/>
        <v>6.65008317156147</v>
      </c>
      <c r="M729" s="15">
        <f t="shared" si="289"/>
        <v>6.09041128299962</v>
      </c>
      <c r="N729" s="8"/>
      <c r="O729" s="8"/>
      <c r="P729" s="11"/>
      <c r="Q729" s="11"/>
    </row>
    <row r="730" spans="1:1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>
      <c r="A732" s="8" t="s">
        <v>240</v>
      </c>
      <c r="B732" s="8" t="s">
        <v>188</v>
      </c>
      <c r="C732" s="8" t="s">
        <v>189</v>
      </c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11"/>
      <c r="O732" s="11"/>
      <c r="P732" s="11"/>
      <c r="Q732" s="11"/>
    </row>
    <row r="733" spans="1:17">
      <c r="A733" s="8" t="s">
        <v>240</v>
      </c>
      <c r="B733" s="8" t="s">
        <v>190</v>
      </c>
      <c r="C733" s="8" t="s">
        <v>191</v>
      </c>
      <c r="D733" s="8">
        <v>8.53428778664969</v>
      </c>
      <c r="E733" s="8">
        <v>0</v>
      </c>
      <c r="F733" s="8">
        <v>0</v>
      </c>
      <c r="G733" s="8">
        <v>1.04836095026757</v>
      </c>
      <c r="H733" s="8">
        <v>0</v>
      </c>
      <c r="I733" s="8">
        <v>3.01432488183324</v>
      </c>
      <c r="J733" s="8">
        <v>8.27175322604647</v>
      </c>
      <c r="K733" s="8">
        <v>0</v>
      </c>
      <c r="L733" s="8">
        <v>10.6853864189081</v>
      </c>
      <c r="M733" s="8">
        <v>0</v>
      </c>
      <c r="N733" s="11"/>
      <c r="O733" s="11"/>
      <c r="P733" s="11"/>
      <c r="Q733" s="11"/>
    </row>
    <row r="734" spans="1:17">
      <c r="A734" s="8" t="s">
        <v>240</v>
      </c>
      <c r="B734" s="8" t="s">
        <v>192</v>
      </c>
      <c r="C734" s="8" t="s">
        <v>193</v>
      </c>
      <c r="D734" s="8">
        <v>0</v>
      </c>
      <c r="E734" s="8">
        <v>0</v>
      </c>
      <c r="F734" s="8">
        <v>0</v>
      </c>
      <c r="G734" s="8">
        <v>39.5895669525144</v>
      </c>
      <c r="H734" s="8">
        <v>0</v>
      </c>
      <c r="I734" s="8">
        <v>0</v>
      </c>
      <c r="J734" s="8">
        <v>0</v>
      </c>
      <c r="K734" s="8">
        <v>5.24404297749919</v>
      </c>
      <c r="L734" s="8">
        <v>20.6898812505525</v>
      </c>
      <c r="M734" s="8">
        <v>0</v>
      </c>
      <c r="N734" s="11"/>
      <c r="O734" s="11"/>
      <c r="P734" s="11"/>
      <c r="Q734" s="11"/>
    </row>
    <row r="735" spans="1:17">
      <c r="A735" s="8" t="s">
        <v>240</v>
      </c>
      <c r="B735" s="8" t="s">
        <v>192</v>
      </c>
      <c r="C735" s="8" t="s">
        <v>194</v>
      </c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11"/>
      <c r="O735" s="11"/>
      <c r="P735" s="11"/>
      <c r="Q735" s="11"/>
    </row>
    <row r="736" spans="1:17">
      <c r="A736" s="8" t="s">
        <v>240</v>
      </c>
      <c r="B736" s="8" t="s">
        <v>195</v>
      </c>
      <c r="C736" s="8" t="s">
        <v>196</v>
      </c>
      <c r="D736" s="8">
        <v>0</v>
      </c>
      <c r="E736" s="8">
        <v>0</v>
      </c>
      <c r="F736" s="8">
        <v>0</v>
      </c>
      <c r="G736" s="8">
        <v>9.49278472193763</v>
      </c>
      <c r="H736" s="8">
        <v>0</v>
      </c>
      <c r="I736" s="8">
        <v>0</v>
      </c>
      <c r="J736" s="8">
        <v>0</v>
      </c>
      <c r="K736" s="8">
        <v>0</v>
      </c>
      <c r="L736" s="8">
        <v>0.289402688629688</v>
      </c>
      <c r="M736" s="8">
        <v>0.990849857881673</v>
      </c>
      <c r="N736" s="11"/>
      <c r="O736" s="11"/>
      <c r="P736" s="11"/>
      <c r="Q736" s="11"/>
    </row>
    <row r="737" spans="1:17">
      <c r="A737" s="8" t="s">
        <v>240</v>
      </c>
      <c r="B737" s="8" t="s">
        <v>195</v>
      </c>
      <c r="C737" s="8" t="s">
        <v>197</v>
      </c>
      <c r="D737" s="8">
        <v>0</v>
      </c>
      <c r="E737" s="8">
        <v>0</v>
      </c>
      <c r="F737" s="8">
        <v>0</v>
      </c>
      <c r="G737" s="8">
        <v>1.04207489811663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11"/>
      <c r="O737" s="11"/>
      <c r="P737" s="11"/>
      <c r="Q737" s="11"/>
    </row>
    <row r="738" spans="1:17">
      <c r="A738" s="8" t="s">
        <v>240</v>
      </c>
      <c r="B738" s="8" t="s">
        <v>198</v>
      </c>
      <c r="C738" s="8" t="s">
        <v>199</v>
      </c>
      <c r="D738" s="8">
        <v>0</v>
      </c>
      <c r="E738" s="8">
        <v>16.7651647120534</v>
      </c>
      <c r="F738" s="8">
        <v>0</v>
      </c>
      <c r="G738" s="8">
        <v>87.5652855840529</v>
      </c>
      <c r="H738" s="8">
        <v>0</v>
      </c>
      <c r="I738" s="8">
        <v>8.04258908288347</v>
      </c>
      <c r="J738" s="8">
        <v>43.3264268109989</v>
      </c>
      <c r="K738" s="8">
        <v>0</v>
      </c>
      <c r="L738" s="8">
        <v>11.2015796246173</v>
      </c>
      <c r="M738" s="8">
        <v>8.80668010085948</v>
      </c>
      <c r="N738" s="11"/>
      <c r="O738" s="11"/>
      <c r="P738" s="11"/>
      <c r="Q738" s="11"/>
    </row>
    <row r="739" spans="1:17">
      <c r="A739" s="8" t="s">
        <v>240</v>
      </c>
      <c r="B739" s="8" t="s">
        <v>36</v>
      </c>
      <c r="C739" s="8" t="s">
        <v>130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11"/>
      <c r="O739" s="11"/>
      <c r="P739" s="11"/>
      <c r="Q739" s="11"/>
    </row>
    <row r="740" spans="1:17">
      <c r="A740" s="8" t="s">
        <v>240</v>
      </c>
      <c r="B740" s="8" t="s">
        <v>200</v>
      </c>
      <c r="C740" s="8" t="s">
        <v>97</v>
      </c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11"/>
      <c r="O740" s="11"/>
      <c r="P740" s="11"/>
      <c r="Q740" s="11"/>
    </row>
    <row r="741" spans="1:17">
      <c r="A741" s="8" t="s">
        <v>240</v>
      </c>
      <c r="B741" s="8" t="s">
        <v>200</v>
      </c>
      <c r="C741" s="8" t="s">
        <v>98</v>
      </c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11"/>
      <c r="O741" s="11"/>
      <c r="P741" s="11"/>
      <c r="Q741" s="11"/>
    </row>
    <row r="742" spans="1:17">
      <c r="A742" s="8" t="s">
        <v>240</v>
      </c>
      <c r="B742" s="8" t="s">
        <v>200</v>
      </c>
      <c r="C742" s="8" t="s">
        <v>95</v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11"/>
      <c r="O742" s="11"/>
      <c r="P742" s="11"/>
      <c r="Q742" s="11"/>
    </row>
    <row r="743" spans="1:17">
      <c r="A743" s="8" t="s">
        <v>240</v>
      </c>
      <c r="B743" s="8" t="s">
        <v>200</v>
      </c>
      <c r="C743" s="8" t="s">
        <v>93</v>
      </c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11"/>
      <c r="O743" s="11"/>
      <c r="P743" s="11"/>
      <c r="Q743" s="11"/>
    </row>
    <row r="744" spans="1:17">
      <c r="A744" s="8" t="s">
        <v>240</v>
      </c>
      <c r="B744" s="8" t="s">
        <v>200</v>
      </c>
      <c r="C744" s="8" t="s">
        <v>96</v>
      </c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11"/>
      <c r="O744" s="11"/>
      <c r="P744" s="11"/>
      <c r="Q744" s="11"/>
    </row>
    <row r="745" spans="1:17">
      <c r="A745" s="8" t="s">
        <v>240</v>
      </c>
      <c r="B745" s="8" t="s">
        <v>200</v>
      </c>
      <c r="C745" s="8" t="s">
        <v>94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11"/>
      <c r="O745" s="11"/>
      <c r="P745" s="11"/>
      <c r="Q745" s="11"/>
    </row>
    <row r="746" spans="1:17">
      <c r="A746" s="8" t="s">
        <v>240</v>
      </c>
      <c r="B746" s="8" t="s">
        <v>201</v>
      </c>
      <c r="C746" s="8" t="s">
        <v>202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11"/>
      <c r="O746" s="11"/>
      <c r="P746" s="11"/>
      <c r="Q746" s="11"/>
    </row>
    <row r="747" spans="1:17">
      <c r="A747" s="11"/>
      <c r="B747" s="11"/>
      <c r="C747" s="11"/>
      <c r="D747" s="2" t="s">
        <v>185</v>
      </c>
      <c r="E747" s="3"/>
      <c r="F747" s="3"/>
      <c r="G747" s="3"/>
      <c r="H747" s="4"/>
      <c r="I747" s="5" t="s">
        <v>186</v>
      </c>
      <c r="J747" s="6"/>
      <c r="K747" s="6"/>
      <c r="L747" s="6"/>
      <c r="M747" s="7"/>
      <c r="N747" s="8" t="s">
        <v>203</v>
      </c>
      <c r="O747" s="8" t="s">
        <v>203</v>
      </c>
      <c r="P747" s="8" t="s">
        <v>248</v>
      </c>
      <c r="Q747" s="8" t="s">
        <v>248</v>
      </c>
    </row>
    <row r="748" spans="1:17">
      <c r="A748" s="11"/>
      <c r="B748" s="8" t="s">
        <v>240</v>
      </c>
      <c r="C748" s="8" t="s">
        <v>37</v>
      </c>
      <c r="D748" s="8">
        <f t="shared" ref="D748:M748" si="290">SUM(D732:D738)</f>
        <v>8.53428778664969</v>
      </c>
      <c r="E748" s="8">
        <f t="shared" si="290"/>
        <v>16.7651647120534</v>
      </c>
      <c r="F748" s="8">
        <f t="shared" si="290"/>
        <v>0</v>
      </c>
      <c r="G748" s="8">
        <f t="shared" si="290"/>
        <v>138.738073106889</v>
      </c>
      <c r="H748" s="8">
        <f t="shared" si="290"/>
        <v>0</v>
      </c>
      <c r="I748" s="8">
        <f t="shared" si="290"/>
        <v>11.0569139647167</v>
      </c>
      <c r="J748" s="8">
        <f t="shared" si="290"/>
        <v>51.5981800370454</v>
      </c>
      <c r="K748" s="8">
        <f t="shared" si="290"/>
        <v>5.24404297749919</v>
      </c>
      <c r="L748" s="8">
        <f t="shared" si="290"/>
        <v>42.8662499827076</v>
      </c>
      <c r="M748" s="8">
        <f t="shared" si="290"/>
        <v>9.79752995874116</v>
      </c>
      <c r="N748" s="8">
        <f t="shared" ref="N748:N750" si="291">AVERAGE(D748:H748)</f>
        <v>32.8075051211185</v>
      </c>
      <c r="O748" s="8">
        <f t="shared" ref="O748:O750" si="292">AVERAGE(I748:M748)</f>
        <v>24.112583384142</v>
      </c>
      <c r="P748" s="8">
        <f t="shared" ref="P748:P750" si="293">LOG(N748+1,2)</f>
        <v>5.07927164906019</v>
      </c>
      <c r="Q748" s="8">
        <f t="shared" ref="Q748:Q750" si="294">LOG(O748+1,2)</f>
        <v>4.65033854419689</v>
      </c>
    </row>
    <row r="749" spans="1:17">
      <c r="A749" s="11"/>
      <c r="B749" s="8" t="s">
        <v>240</v>
      </c>
      <c r="C749" s="8" t="s">
        <v>36</v>
      </c>
      <c r="D749" s="8">
        <f t="shared" ref="D749:M749" si="295">D739</f>
        <v>0</v>
      </c>
      <c r="E749" s="8">
        <f t="shared" si="295"/>
        <v>0</v>
      </c>
      <c r="F749" s="8">
        <f t="shared" si="295"/>
        <v>0</v>
      </c>
      <c r="G749" s="8">
        <f t="shared" si="295"/>
        <v>0</v>
      </c>
      <c r="H749" s="8">
        <f t="shared" si="295"/>
        <v>0</v>
      </c>
      <c r="I749" s="8">
        <f t="shared" si="295"/>
        <v>0</v>
      </c>
      <c r="J749" s="8">
        <f t="shared" si="295"/>
        <v>0</v>
      </c>
      <c r="K749" s="8">
        <f t="shared" si="295"/>
        <v>0</v>
      </c>
      <c r="L749" s="8">
        <f t="shared" si="295"/>
        <v>0</v>
      </c>
      <c r="M749" s="8">
        <f t="shared" si="295"/>
        <v>0</v>
      </c>
      <c r="N749" s="8">
        <f t="shared" si="291"/>
        <v>0</v>
      </c>
      <c r="O749" s="8">
        <f t="shared" si="292"/>
        <v>0</v>
      </c>
      <c r="P749" s="8">
        <f t="shared" si="293"/>
        <v>0</v>
      </c>
      <c r="Q749" s="8">
        <f t="shared" si="294"/>
        <v>0</v>
      </c>
    </row>
    <row r="750" spans="1:17">
      <c r="A750" s="11"/>
      <c r="B750" s="8" t="s">
        <v>240</v>
      </c>
      <c r="C750" s="8" t="s">
        <v>35</v>
      </c>
      <c r="D750" s="8">
        <f t="shared" ref="D750:M750" si="296">SUM(D740:D746)</f>
        <v>0</v>
      </c>
      <c r="E750" s="8">
        <f t="shared" si="296"/>
        <v>0</v>
      </c>
      <c r="F750" s="8">
        <f t="shared" si="296"/>
        <v>0</v>
      </c>
      <c r="G750" s="8">
        <f t="shared" si="296"/>
        <v>0</v>
      </c>
      <c r="H750" s="8">
        <f t="shared" si="296"/>
        <v>0</v>
      </c>
      <c r="I750" s="8">
        <f t="shared" si="296"/>
        <v>0</v>
      </c>
      <c r="J750" s="8">
        <f t="shared" si="296"/>
        <v>0</v>
      </c>
      <c r="K750" s="8">
        <f t="shared" si="296"/>
        <v>0</v>
      </c>
      <c r="L750" s="8">
        <f t="shared" si="296"/>
        <v>0</v>
      </c>
      <c r="M750" s="8">
        <f t="shared" si="296"/>
        <v>0</v>
      </c>
      <c r="N750" s="8">
        <f t="shared" si="291"/>
        <v>0</v>
      </c>
      <c r="O750" s="8">
        <f t="shared" si="292"/>
        <v>0</v>
      </c>
      <c r="P750" s="8">
        <f t="shared" si="293"/>
        <v>0</v>
      </c>
      <c r="Q750" s="8">
        <f t="shared" si="294"/>
        <v>0</v>
      </c>
    </row>
    <row r="751" spans="1:1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8"/>
      <c r="O751" s="8"/>
      <c r="P751" s="11"/>
      <c r="Q751" s="11"/>
    </row>
    <row r="752" spans="1:17">
      <c r="A752" s="11"/>
      <c r="B752" s="8" t="s">
        <v>240</v>
      </c>
      <c r="C752" s="8" t="s">
        <v>37</v>
      </c>
      <c r="D752" s="8">
        <f t="shared" ref="D752:M752" si="297">LOG(D748+1,2)</f>
        <v>3.25312517293288</v>
      </c>
      <c r="E752" s="8">
        <f t="shared" si="297"/>
        <v>4.1509791597547</v>
      </c>
      <c r="F752" s="8">
        <f t="shared" si="297"/>
        <v>0</v>
      </c>
      <c r="G752" s="8">
        <f t="shared" si="297"/>
        <v>7.1265813415098</v>
      </c>
      <c r="H752" s="8">
        <f t="shared" si="297"/>
        <v>0</v>
      </c>
      <c r="I752" s="8">
        <f t="shared" si="297"/>
        <v>3.59178878342432</v>
      </c>
      <c r="J752" s="8">
        <f t="shared" si="297"/>
        <v>5.7169409762119</v>
      </c>
      <c r="K752" s="8">
        <f t="shared" si="297"/>
        <v>2.64248046736252</v>
      </c>
      <c r="L752" s="8">
        <f t="shared" si="297"/>
        <v>5.45503947408258</v>
      </c>
      <c r="M752" s="15">
        <f t="shared" si="297"/>
        <v>3.43262941432809</v>
      </c>
      <c r="N752" s="8"/>
      <c r="O752" s="8"/>
      <c r="P752" s="11"/>
      <c r="Q752" s="11"/>
    </row>
    <row r="753" spans="1:17">
      <c r="A753" s="11"/>
      <c r="B753" s="8" t="s">
        <v>240</v>
      </c>
      <c r="C753" s="8" t="s">
        <v>36</v>
      </c>
      <c r="D753" s="8">
        <f t="shared" ref="D753:M753" si="298">LOG(D749+1,2)</f>
        <v>0</v>
      </c>
      <c r="E753" s="8">
        <f t="shared" si="298"/>
        <v>0</v>
      </c>
      <c r="F753" s="8">
        <f t="shared" si="298"/>
        <v>0</v>
      </c>
      <c r="G753" s="8">
        <f t="shared" si="298"/>
        <v>0</v>
      </c>
      <c r="H753" s="8">
        <f t="shared" si="298"/>
        <v>0</v>
      </c>
      <c r="I753" s="8">
        <f t="shared" si="298"/>
        <v>0</v>
      </c>
      <c r="J753" s="8">
        <f t="shared" si="298"/>
        <v>0</v>
      </c>
      <c r="K753" s="8">
        <f t="shared" si="298"/>
        <v>0</v>
      </c>
      <c r="L753" s="8">
        <f t="shared" si="298"/>
        <v>0</v>
      </c>
      <c r="M753" s="15">
        <f t="shared" si="298"/>
        <v>0</v>
      </c>
      <c r="N753" s="8"/>
      <c r="O753" s="8"/>
      <c r="P753" s="11"/>
      <c r="Q753" s="11"/>
    </row>
    <row r="754" spans="1:17">
      <c r="A754" s="11"/>
      <c r="B754" s="8" t="s">
        <v>240</v>
      </c>
      <c r="C754" s="8" t="s">
        <v>35</v>
      </c>
      <c r="D754" s="8">
        <f t="shared" ref="D754:M754" si="299">LOG(D750+1,2)</f>
        <v>0</v>
      </c>
      <c r="E754" s="8">
        <f t="shared" si="299"/>
        <v>0</v>
      </c>
      <c r="F754" s="8">
        <f t="shared" si="299"/>
        <v>0</v>
      </c>
      <c r="G754" s="8">
        <f t="shared" si="299"/>
        <v>0</v>
      </c>
      <c r="H754" s="8">
        <f t="shared" si="299"/>
        <v>0</v>
      </c>
      <c r="I754" s="8">
        <f t="shared" si="299"/>
        <v>0</v>
      </c>
      <c r="J754" s="8">
        <f t="shared" si="299"/>
        <v>0</v>
      </c>
      <c r="K754" s="8">
        <f t="shared" si="299"/>
        <v>0</v>
      </c>
      <c r="L754" s="8">
        <f t="shared" si="299"/>
        <v>0</v>
      </c>
      <c r="M754" s="15">
        <f t="shared" si="299"/>
        <v>0</v>
      </c>
      <c r="N754" s="8"/>
      <c r="O754" s="8"/>
      <c r="P754" s="11"/>
      <c r="Q754" s="11"/>
    </row>
    <row r="755" spans="1:1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>
      <c r="A757" s="21" t="s">
        <v>243</v>
      </c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11"/>
      <c r="O757" s="11"/>
      <c r="P757" s="11"/>
      <c r="Q757" s="11"/>
    </row>
    <row r="758" spans="1:17">
      <c r="A758" s="8" t="s">
        <v>244</v>
      </c>
      <c r="B758" s="8" t="s">
        <v>188</v>
      </c>
      <c r="C758" s="8" t="s">
        <v>189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11"/>
      <c r="O758" s="11"/>
      <c r="P758" s="11"/>
      <c r="Q758" s="11"/>
    </row>
    <row r="759" spans="1:17">
      <c r="A759" s="8" t="s">
        <v>244</v>
      </c>
      <c r="B759" s="8" t="s">
        <v>190</v>
      </c>
      <c r="C759" s="8" t="s">
        <v>191</v>
      </c>
      <c r="D759" s="8">
        <v>0</v>
      </c>
      <c r="E759" s="8">
        <v>8.72519949936988</v>
      </c>
      <c r="F759" s="8">
        <v>0</v>
      </c>
      <c r="G759" s="8">
        <v>0</v>
      </c>
      <c r="H759" s="8">
        <v>0</v>
      </c>
      <c r="I759" s="8">
        <v>0</v>
      </c>
      <c r="J759" s="8">
        <v>2.2930791968199</v>
      </c>
      <c r="K759" s="8">
        <v>0</v>
      </c>
      <c r="L759" s="8">
        <v>0</v>
      </c>
      <c r="M759" s="8">
        <v>0</v>
      </c>
      <c r="N759" s="11"/>
      <c r="O759" s="11"/>
      <c r="P759" s="11"/>
      <c r="Q759" s="11"/>
    </row>
    <row r="760" spans="1:17">
      <c r="A760" s="8" t="s">
        <v>244</v>
      </c>
      <c r="B760" s="8" t="s">
        <v>192</v>
      </c>
      <c r="C760" s="8" t="s">
        <v>193</v>
      </c>
      <c r="D760" s="8">
        <v>6.21398887146501</v>
      </c>
      <c r="E760" s="8">
        <v>0</v>
      </c>
      <c r="F760" s="8">
        <v>0</v>
      </c>
      <c r="G760" s="8">
        <v>22.6179035348647</v>
      </c>
      <c r="H760" s="8">
        <v>0</v>
      </c>
      <c r="I760" s="8">
        <v>0</v>
      </c>
      <c r="J760" s="8">
        <v>2.21165567789362</v>
      </c>
      <c r="K760" s="8">
        <v>1.10341234236462</v>
      </c>
      <c r="L760" s="8">
        <v>12.0625448947091</v>
      </c>
      <c r="M760" s="8">
        <v>0</v>
      </c>
      <c r="N760" s="11"/>
      <c r="O760" s="11"/>
      <c r="P760" s="11"/>
      <c r="Q760" s="11"/>
    </row>
    <row r="761" spans="1:17">
      <c r="A761" s="8" t="s">
        <v>244</v>
      </c>
      <c r="B761" s="8" t="s">
        <v>192</v>
      </c>
      <c r="C761" s="8" t="s">
        <v>194</v>
      </c>
      <c r="D761" s="8">
        <v>0</v>
      </c>
      <c r="E761" s="8">
        <v>3.29710337448649</v>
      </c>
      <c r="F761" s="8">
        <v>0</v>
      </c>
      <c r="G761" s="8">
        <v>36.9045955621493</v>
      </c>
      <c r="H761" s="8">
        <v>0</v>
      </c>
      <c r="I761" s="8">
        <v>0</v>
      </c>
      <c r="J761" s="8">
        <v>1.27409816297209</v>
      </c>
      <c r="K761" s="8">
        <v>0</v>
      </c>
      <c r="L761" s="8">
        <v>1.65014453199513</v>
      </c>
      <c r="M761" s="8">
        <v>5.73426260037644</v>
      </c>
      <c r="N761" s="11"/>
      <c r="O761" s="11"/>
      <c r="P761" s="11"/>
      <c r="Q761" s="11"/>
    </row>
    <row r="762" spans="1:17">
      <c r="A762" s="8" t="s">
        <v>244</v>
      </c>
      <c r="B762" s="8" t="s">
        <v>195</v>
      </c>
      <c r="C762" s="8" t="s">
        <v>196</v>
      </c>
      <c r="D762" s="8">
        <v>0</v>
      </c>
      <c r="E762" s="8">
        <v>3.84424777468122</v>
      </c>
      <c r="F762" s="8">
        <v>0</v>
      </c>
      <c r="G762" s="8">
        <v>6.4284121921389</v>
      </c>
      <c r="H762" s="8">
        <v>0</v>
      </c>
      <c r="I762" s="8">
        <v>0</v>
      </c>
      <c r="J762" s="8">
        <v>0</v>
      </c>
      <c r="K762" s="8">
        <v>0.769765247051654</v>
      </c>
      <c r="L762" s="8">
        <v>3.06252827522404</v>
      </c>
      <c r="M762" s="8">
        <v>0</v>
      </c>
      <c r="N762" s="11"/>
      <c r="O762" s="11"/>
      <c r="P762" s="11"/>
      <c r="Q762" s="11"/>
    </row>
    <row r="763" spans="1:17">
      <c r="A763" s="8" t="s">
        <v>244</v>
      </c>
      <c r="B763" s="8" t="s">
        <v>195</v>
      </c>
      <c r="C763" s="8" t="s">
        <v>197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11"/>
      <c r="O763" s="11"/>
      <c r="P763" s="11"/>
      <c r="Q763" s="11"/>
    </row>
    <row r="764" spans="1:17">
      <c r="A764" s="8" t="s">
        <v>244</v>
      </c>
      <c r="B764" s="8" t="s">
        <v>198</v>
      </c>
      <c r="C764" s="8" t="s">
        <v>199</v>
      </c>
      <c r="D764" s="8">
        <v>3.47746102677397</v>
      </c>
      <c r="E764" s="8">
        <v>0</v>
      </c>
      <c r="F764" s="8">
        <v>0</v>
      </c>
      <c r="G764" s="8">
        <v>26.55136909881</v>
      </c>
      <c r="H764" s="8">
        <v>0</v>
      </c>
      <c r="I764" s="8">
        <v>8.21595902155912</v>
      </c>
      <c r="J764" s="8">
        <v>1.61014061156822</v>
      </c>
      <c r="K764" s="8">
        <v>0</v>
      </c>
      <c r="L764" s="8">
        <v>7.13243236534072</v>
      </c>
      <c r="M764" s="8">
        <v>0</v>
      </c>
      <c r="N764" s="11"/>
      <c r="O764" s="11"/>
      <c r="P764" s="11"/>
      <c r="Q764" s="11"/>
    </row>
    <row r="765" spans="1:17">
      <c r="A765" s="8" t="s">
        <v>244</v>
      </c>
      <c r="B765" s="8" t="s">
        <v>36</v>
      </c>
      <c r="C765" s="8" t="s">
        <v>130</v>
      </c>
      <c r="D765" s="8">
        <v>0</v>
      </c>
      <c r="E765" s="8">
        <v>0</v>
      </c>
      <c r="F765" s="8">
        <v>0</v>
      </c>
      <c r="G765" s="8">
        <v>0</v>
      </c>
      <c r="H765" s="8">
        <v>8.4281079427975</v>
      </c>
      <c r="I765" s="8">
        <v>0</v>
      </c>
      <c r="J765" s="8">
        <v>5.80779122261043</v>
      </c>
      <c r="K765" s="8">
        <v>0</v>
      </c>
      <c r="L765" s="8">
        <v>0</v>
      </c>
      <c r="M765" s="8">
        <v>0</v>
      </c>
      <c r="N765" s="11"/>
      <c r="O765" s="11"/>
      <c r="P765" s="11"/>
      <c r="Q765" s="11"/>
    </row>
    <row r="766" spans="1:17">
      <c r="A766" s="8" t="s">
        <v>244</v>
      </c>
      <c r="B766" s="8" t="s">
        <v>200</v>
      </c>
      <c r="C766" s="8" t="s">
        <v>97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3.73695326949919</v>
      </c>
      <c r="L766" s="8">
        <v>4.85434469468398</v>
      </c>
      <c r="M766" s="8">
        <v>0</v>
      </c>
      <c r="N766" s="11"/>
      <c r="O766" s="11"/>
      <c r="P766" s="11"/>
      <c r="Q766" s="11"/>
    </row>
    <row r="767" spans="1:17">
      <c r="A767" s="8" t="s">
        <v>244</v>
      </c>
      <c r="B767" s="8" t="s">
        <v>200</v>
      </c>
      <c r="C767" s="8" t="s">
        <v>98</v>
      </c>
      <c r="D767" s="8">
        <v>0</v>
      </c>
      <c r="E767" s="8">
        <v>1.32803895216504</v>
      </c>
      <c r="F767" s="8">
        <v>0</v>
      </c>
      <c r="G767" s="8">
        <v>0</v>
      </c>
      <c r="H767" s="8">
        <v>0</v>
      </c>
      <c r="I767" s="8">
        <v>0</v>
      </c>
      <c r="J767" s="8">
        <v>28.2920265208291</v>
      </c>
      <c r="K767" s="8">
        <v>0</v>
      </c>
      <c r="L767" s="8">
        <v>1.09869383647565</v>
      </c>
      <c r="M767" s="8">
        <v>0</v>
      </c>
      <c r="N767" s="11"/>
      <c r="O767" s="11"/>
      <c r="P767" s="11"/>
      <c r="Q767" s="11"/>
    </row>
    <row r="768" spans="1:17">
      <c r="A768" s="8" t="s">
        <v>244</v>
      </c>
      <c r="B768" s="8" t="s">
        <v>200</v>
      </c>
      <c r="C768" s="8" t="s">
        <v>95</v>
      </c>
      <c r="D768" s="8">
        <v>0</v>
      </c>
      <c r="E768" s="8">
        <v>0.228264423622527</v>
      </c>
      <c r="F768" s="8">
        <v>0</v>
      </c>
      <c r="G768" s="8">
        <v>0</v>
      </c>
      <c r="H768" s="8">
        <v>0</v>
      </c>
      <c r="I768" s="8">
        <v>7.86114417538713</v>
      </c>
      <c r="J768" s="8">
        <v>0</v>
      </c>
      <c r="K768" s="8">
        <v>5.885526872933</v>
      </c>
      <c r="L768" s="8">
        <v>2.34334081575235</v>
      </c>
      <c r="M768" s="8">
        <v>0</v>
      </c>
      <c r="N768" s="11"/>
      <c r="O768" s="11"/>
      <c r="P768" s="11"/>
      <c r="Q768" s="11"/>
    </row>
    <row r="769" spans="1:17">
      <c r="A769" s="8" t="s">
        <v>244</v>
      </c>
      <c r="B769" s="8" t="s">
        <v>200</v>
      </c>
      <c r="C769" s="8" t="s">
        <v>93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4.63136646219133</v>
      </c>
      <c r="K769" s="8">
        <v>4.54295951323606</v>
      </c>
      <c r="L769" s="8">
        <v>0</v>
      </c>
      <c r="M769" s="8">
        <v>0</v>
      </c>
      <c r="N769" s="11"/>
      <c r="O769" s="11"/>
      <c r="P769" s="11"/>
      <c r="Q769" s="11"/>
    </row>
    <row r="770" spans="1:17">
      <c r="A770" s="8" t="s">
        <v>244</v>
      </c>
      <c r="B770" s="8" t="s">
        <v>200</v>
      </c>
      <c r="C770" s="8" t="s">
        <v>96</v>
      </c>
      <c r="D770" s="8">
        <v>0</v>
      </c>
      <c r="E770" s="8">
        <v>3.97001025348059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5.59458550327465</v>
      </c>
      <c r="M770" s="8">
        <v>0</v>
      </c>
      <c r="N770" s="11"/>
      <c r="O770" s="11"/>
      <c r="P770" s="11"/>
      <c r="Q770" s="11"/>
    </row>
    <row r="771" spans="1:17">
      <c r="A771" s="8" t="s">
        <v>244</v>
      </c>
      <c r="B771" s="8" t="s">
        <v>200</v>
      </c>
      <c r="C771" s="8" t="s">
        <v>94</v>
      </c>
      <c r="D771" s="8">
        <v>0</v>
      </c>
      <c r="E771" s="8">
        <v>1.46524719141799</v>
      </c>
      <c r="F771" s="8">
        <v>10.3483518522576</v>
      </c>
      <c r="G771" s="8">
        <v>4.43500793668182</v>
      </c>
      <c r="H771" s="8">
        <v>0</v>
      </c>
      <c r="I771" s="8">
        <v>0</v>
      </c>
      <c r="J771" s="8">
        <v>1.42821628074954</v>
      </c>
      <c r="K771" s="8">
        <v>0</v>
      </c>
      <c r="L771" s="8">
        <v>6.09459951519246</v>
      </c>
      <c r="M771" s="8">
        <v>0</v>
      </c>
      <c r="N771" s="11"/>
      <c r="O771" s="11"/>
      <c r="P771" s="11"/>
      <c r="Q771" s="11"/>
    </row>
    <row r="772" spans="1:17">
      <c r="A772" s="8" t="s">
        <v>244</v>
      </c>
      <c r="B772" s="8" t="s">
        <v>201</v>
      </c>
      <c r="C772" s="8" t="s">
        <v>202</v>
      </c>
      <c r="D772" s="8">
        <v>0</v>
      </c>
      <c r="E772" s="8">
        <v>0</v>
      </c>
      <c r="F772" s="8">
        <v>0</v>
      </c>
      <c r="G772" s="8">
        <v>15.8311916372605</v>
      </c>
      <c r="H772" s="8">
        <v>0</v>
      </c>
      <c r="I772" s="8">
        <v>0</v>
      </c>
      <c r="J772" s="8">
        <v>28.7791719251741</v>
      </c>
      <c r="K772" s="8">
        <v>0</v>
      </c>
      <c r="L772" s="8">
        <v>11.4211634124356</v>
      </c>
      <c r="M772" s="8">
        <v>40.4581675346986</v>
      </c>
      <c r="N772" s="11"/>
      <c r="O772" s="11"/>
      <c r="P772" s="11"/>
      <c r="Q772" s="11"/>
    </row>
    <row r="773" spans="1:17">
      <c r="A773" s="11"/>
      <c r="B773" s="11"/>
      <c r="C773" s="11"/>
      <c r="D773" s="2" t="s">
        <v>185</v>
      </c>
      <c r="E773" s="3"/>
      <c r="F773" s="3"/>
      <c r="G773" s="3"/>
      <c r="H773" s="4"/>
      <c r="I773" s="5" t="s">
        <v>186</v>
      </c>
      <c r="J773" s="6"/>
      <c r="K773" s="6"/>
      <c r="L773" s="6"/>
      <c r="M773" s="7"/>
      <c r="N773" s="8" t="s">
        <v>203</v>
      </c>
      <c r="O773" s="8" t="s">
        <v>203</v>
      </c>
      <c r="P773" s="8" t="s">
        <v>248</v>
      </c>
      <c r="Q773" s="8" t="s">
        <v>248</v>
      </c>
    </row>
    <row r="774" spans="1:17">
      <c r="A774" s="11"/>
      <c r="B774" s="8" t="s">
        <v>254</v>
      </c>
      <c r="C774" s="8" t="s">
        <v>37</v>
      </c>
      <c r="D774" s="8">
        <f t="shared" ref="D774:M774" si="300">SUM(D758:D764)</f>
        <v>9.69144989823898</v>
      </c>
      <c r="E774" s="8">
        <f t="shared" si="300"/>
        <v>15.8665506485376</v>
      </c>
      <c r="F774" s="8">
        <f t="shared" si="300"/>
        <v>0</v>
      </c>
      <c r="G774" s="8">
        <f t="shared" si="300"/>
        <v>92.502280387963</v>
      </c>
      <c r="H774" s="8">
        <f t="shared" si="300"/>
        <v>0</v>
      </c>
      <c r="I774" s="8">
        <f t="shared" si="300"/>
        <v>8.21595902155912</v>
      </c>
      <c r="J774" s="8">
        <f t="shared" si="300"/>
        <v>7.38897364925382</v>
      </c>
      <c r="K774" s="8">
        <f t="shared" si="300"/>
        <v>1.87317758941627</v>
      </c>
      <c r="L774" s="8">
        <f t="shared" si="300"/>
        <v>23.907650067269</v>
      </c>
      <c r="M774" s="8">
        <f t="shared" si="300"/>
        <v>5.73426260037644</v>
      </c>
      <c r="N774" s="8">
        <f t="shared" ref="N774:N776" si="301">AVERAGE(D774:H774)</f>
        <v>23.6120561869479</v>
      </c>
      <c r="O774" s="8">
        <f t="shared" ref="O774:O776" si="302">AVERAGE(I774:M774)</f>
        <v>9.42400458557492</v>
      </c>
      <c r="P774" s="8">
        <f t="shared" ref="P774:P776" si="303">LOG(N774+1,2)</f>
        <v>4.62129328607616</v>
      </c>
      <c r="Q774" s="8">
        <f t="shared" ref="Q774:Q776" si="304">LOG(O774+1,2)</f>
        <v>3.38183771855539</v>
      </c>
    </row>
    <row r="775" spans="1:17">
      <c r="A775" s="11"/>
      <c r="B775" s="8" t="s">
        <v>254</v>
      </c>
      <c r="C775" s="8" t="s">
        <v>36</v>
      </c>
      <c r="D775" s="8">
        <f t="shared" ref="D775:M775" si="305">D765</f>
        <v>0</v>
      </c>
      <c r="E775" s="8">
        <f t="shared" si="305"/>
        <v>0</v>
      </c>
      <c r="F775" s="8">
        <f t="shared" si="305"/>
        <v>0</v>
      </c>
      <c r="G775" s="8">
        <f t="shared" si="305"/>
        <v>0</v>
      </c>
      <c r="H775" s="8">
        <f t="shared" si="305"/>
        <v>8.4281079427975</v>
      </c>
      <c r="I775" s="8">
        <f t="shared" si="305"/>
        <v>0</v>
      </c>
      <c r="J775" s="8">
        <f t="shared" si="305"/>
        <v>5.80779122261043</v>
      </c>
      <c r="K775" s="8">
        <f t="shared" si="305"/>
        <v>0</v>
      </c>
      <c r="L775" s="8">
        <f t="shared" si="305"/>
        <v>0</v>
      </c>
      <c r="M775" s="8">
        <f t="shared" si="305"/>
        <v>0</v>
      </c>
      <c r="N775" s="8">
        <f t="shared" si="301"/>
        <v>1.6856215885595</v>
      </c>
      <c r="O775" s="8">
        <f t="shared" si="302"/>
        <v>1.16155824452209</v>
      </c>
      <c r="P775" s="8">
        <f t="shared" si="303"/>
        <v>1.42525603940106</v>
      </c>
      <c r="Q775" s="8">
        <f t="shared" si="304"/>
        <v>1.1120717110666</v>
      </c>
    </row>
    <row r="776" spans="1:17">
      <c r="A776" s="11"/>
      <c r="B776" s="8" t="s">
        <v>254</v>
      </c>
      <c r="C776" s="8" t="s">
        <v>35</v>
      </c>
      <c r="D776" s="8">
        <f t="shared" ref="D776:M776" si="306">SUM(D766:D772)</f>
        <v>0</v>
      </c>
      <c r="E776" s="8">
        <f t="shared" si="306"/>
        <v>6.99156082068614</v>
      </c>
      <c r="F776" s="8">
        <f t="shared" si="306"/>
        <v>10.3483518522576</v>
      </c>
      <c r="G776" s="8">
        <f t="shared" si="306"/>
        <v>20.2661995739424</v>
      </c>
      <c r="H776" s="8">
        <f t="shared" si="306"/>
        <v>0</v>
      </c>
      <c r="I776" s="8">
        <f t="shared" si="306"/>
        <v>7.86114417538713</v>
      </c>
      <c r="J776" s="8">
        <f t="shared" si="306"/>
        <v>63.1307811889441</v>
      </c>
      <c r="K776" s="8">
        <f t="shared" si="306"/>
        <v>14.1654396556682</v>
      </c>
      <c r="L776" s="8">
        <f t="shared" si="306"/>
        <v>31.4067277778146</v>
      </c>
      <c r="M776" s="8">
        <f t="shared" si="306"/>
        <v>40.4581675346986</v>
      </c>
      <c r="N776" s="8">
        <f t="shared" si="301"/>
        <v>7.52122244937722</v>
      </c>
      <c r="O776" s="8">
        <f t="shared" si="302"/>
        <v>31.4044520665025</v>
      </c>
      <c r="P776" s="8">
        <f t="shared" si="303"/>
        <v>3.09106041344925</v>
      </c>
      <c r="Q776" s="8">
        <f t="shared" si="304"/>
        <v>5.01812013432494</v>
      </c>
    </row>
    <row r="777" spans="1:1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8"/>
      <c r="O777" s="8"/>
      <c r="P777" s="11"/>
      <c r="Q777" s="11"/>
    </row>
    <row r="778" spans="1:17">
      <c r="A778" s="11"/>
      <c r="B778" s="8" t="s">
        <v>254</v>
      </c>
      <c r="C778" s="8" t="s">
        <v>37</v>
      </c>
      <c r="D778" s="8">
        <f t="shared" ref="D778:M778" si="307">LOG(D774+1,2)</f>
        <v>3.41838560923275</v>
      </c>
      <c r="E778" s="8">
        <f t="shared" si="307"/>
        <v>4.07609305540861</v>
      </c>
      <c r="F778" s="8">
        <f t="shared" si="307"/>
        <v>0</v>
      </c>
      <c r="G778" s="8">
        <f t="shared" si="307"/>
        <v>6.54692964560194</v>
      </c>
      <c r="H778" s="8">
        <f t="shared" si="307"/>
        <v>0</v>
      </c>
      <c r="I778" s="8">
        <f t="shared" si="307"/>
        <v>3.20413430190122</v>
      </c>
      <c r="J778" s="8">
        <f t="shared" si="307"/>
        <v>3.06849431463328</v>
      </c>
      <c r="K778" s="8">
        <f t="shared" si="307"/>
        <v>1.52264716775801</v>
      </c>
      <c r="L778" s="8">
        <f t="shared" si="307"/>
        <v>4.63851701063633</v>
      </c>
      <c r="M778" s="15">
        <f t="shared" si="307"/>
        <v>2.75151997968562</v>
      </c>
      <c r="N778" s="8"/>
      <c r="O778" s="8"/>
      <c r="P778" s="11"/>
      <c r="Q778" s="11"/>
    </row>
    <row r="779" spans="1:17">
      <c r="A779" s="11"/>
      <c r="B779" s="8" t="s">
        <v>254</v>
      </c>
      <c r="C779" s="8" t="s">
        <v>36</v>
      </c>
      <c r="D779" s="8">
        <f t="shared" ref="D779:M779" si="308">LOG(D775+1,2)</f>
        <v>0</v>
      </c>
      <c r="E779" s="8">
        <f t="shared" si="308"/>
        <v>0</v>
      </c>
      <c r="F779" s="8">
        <f t="shared" si="308"/>
        <v>0</v>
      </c>
      <c r="G779" s="8">
        <f t="shared" si="308"/>
        <v>0</v>
      </c>
      <c r="H779" s="8">
        <f t="shared" si="308"/>
        <v>3.23696827615778</v>
      </c>
      <c r="I779" s="8">
        <f t="shared" si="308"/>
        <v>0</v>
      </c>
      <c r="J779" s="8">
        <f t="shared" si="308"/>
        <v>2.76718679396819</v>
      </c>
      <c r="K779" s="8">
        <f t="shared" si="308"/>
        <v>0</v>
      </c>
      <c r="L779" s="8">
        <f t="shared" si="308"/>
        <v>0</v>
      </c>
      <c r="M779" s="15">
        <f t="shared" si="308"/>
        <v>0</v>
      </c>
      <c r="N779" s="8"/>
      <c r="O779" s="8"/>
      <c r="P779" s="11"/>
      <c r="Q779" s="11"/>
    </row>
    <row r="780" spans="1:17">
      <c r="A780" s="11"/>
      <c r="B780" s="8" t="s">
        <v>254</v>
      </c>
      <c r="C780" s="8" t="s">
        <v>35</v>
      </c>
      <c r="D780" s="8">
        <f t="shared" ref="D780:M780" si="309">LOG(D776+1,2)</f>
        <v>0</v>
      </c>
      <c r="E780" s="8">
        <f t="shared" si="309"/>
        <v>2.99847730144518</v>
      </c>
      <c r="F780" s="8">
        <f t="shared" si="309"/>
        <v>3.50441088163429</v>
      </c>
      <c r="G780" s="8">
        <f t="shared" si="309"/>
        <v>4.41049033102042</v>
      </c>
      <c r="H780" s="8">
        <f t="shared" si="309"/>
        <v>0</v>
      </c>
      <c r="I780" s="8">
        <f t="shared" si="309"/>
        <v>3.14749299557274</v>
      </c>
      <c r="J780" s="8">
        <f t="shared" si="309"/>
        <v>6.00294507590607</v>
      </c>
      <c r="K780" s="8">
        <f t="shared" si="309"/>
        <v>3.9227154180956</v>
      </c>
      <c r="L780" s="8">
        <f t="shared" si="309"/>
        <v>5.01822144886461</v>
      </c>
      <c r="M780" s="15">
        <f t="shared" si="309"/>
        <v>5.37358444512562</v>
      </c>
      <c r="N780" s="8"/>
      <c r="O780" s="8"/>
      <c r="P780" s="11"/>
      <c r="Q780" s="11"/>
    </row>
    <row r="781" spans="1:1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>
      <c r="A783" s="8" t="s">
        <v>245</v>
      </c>
      <c r="B783" s="8" t="s">
        <v>188</v>
      </c>
      <c r="C783" s="8" t="s">
        <v>189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13.7992392692543</v>
      </c>
      <c r="M783" s="8">
        <v>0</v>
      </c>
      <c r="N783" s="11"/>
      <c r="O783" s="11"/>
      <c r="P783" s="11"/>
      <c r="Q783" s="11"/>
    </row>
    <row r="784" spans="1:17">
      <c r="A784" s="8" t="s">
        <v>245</v>
      </c>
      <c r="B784" s="8" t="s">
        <v>190</v>
      </c>
      <c r="C784" s="8" t="s">
        <v>191</v>
      </c>
      <c r="D784" s="8">
        <v>31.8434562623862</v>
      </c>
      <c r="E784" s="8">
        <v>6.6813943381561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2.30743588825072</v>
      </c>
      <c r="M784" s="8">
        <v>0</v>
      </c>
      <c r="N784" s="11"/>
      <c r="O784" s="11"/>
      <c r="P784" s="11"/>
      <c r="Q784" s="11"/>
    </row>
    <row r="785" spans="1:17">
      <c r="A785" s="8" t="s">
        <v>245</v>
      </c>
      <c r="B785" s="8" t="s">
        <v>192</v>
      </c>
      <c r="C785" s="8" t="s">
        <v>193</v>
      </c>
      <c r="D785" s="8">
        <v>0</v>
      </c>
      <c r="E785" s="8">
        <v>0</v>
      </c>
      <c r="F785" s="8">
        <v>0</v>
      </c>
      <c r="G785" s="8">
        <v>6.77180140828973</v>
      </c>
      <c r="H785" s="8">
        <v>0</v>
      </c>
      <c r="I785" s="8">
        <v>0</v>
      </c>
      <c r="J785" s="8">
        <v>2.5023472994347</v>
      </c>
      <c r="K785" s="8">
        <v>0</v>
      </c>
      <c r="L785" s="8">
        <v>0</v>
      </c>
      <c r="M785" s="8">
        <v>5.32267230792675</v>
      </c>
      <c r="N785" s="11"/>
      <c r="O785" s="11"/>
      <c r="P785" s="11"/>
      <c r="Q785" s="11"/>
    </row>
    <row r="786" spans="1:17">
      <c r="A786" s="8" t="s">
        <v>245</v>
      </c>
      <c r="B786" s="8" t="s">
        <v>192</v>
      </c>
      <c r="C786" s="8" t="s">
        <v>194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11"/>
      <c r="O786" s="11"/>
      <c r="P786" s="11"/>
      <c r="Q786" s="11"/>
    </row>
    <row r="787" spans="1:17">
      <c r="A787" s="8" t="s">
        <v>245</v>
      </c>
      <c r="B787" s="8" t="s">
        <v>195</v>
      </c>
      <c r="C787" s="8" t="s">
        <v>196</v>
      </c>
      <c r="D787" s="8">
        <v>0</v>
      </c>
      <c r="E787" s="8">
        <v>0</v>
      </c>
      <c r="F787" s="8">
        <v>0</v>
      </c>
      <c r="G787" s="8">
        <v>2.52494890082373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11"/>
      <c r="O787" s="11"/>
      <c r="P787" s="11"/>
      <c r="Q787" s="11"/>
    </row>
    <row r="788" spans="1:17">
      <c r="A788" s="8" t="s">
        <v>245</v>
      </c>
      <c r="B788" s="8" t="s">
        <v>195</v>
      </c>
      <c r="C788" s="8" t="s">
        <v>197</v>
      </c>
      <c r="D788" s="8">
        <v>0</v>
      </c>
      <c r="E788" s="8">
        <v>0</v>
      </c>
      <c r="F788" s="8">
        <v>0</v>
      </c>
      <c r="G788" s="8">
        <v>11.083775161826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11"/>
      <c r="O788" s="11"/>
      <c r="P788" s="11"/>
      <c r="Q788" s="11"/>
    </row>
    <row r="789" spans="1:17">
      <c r="A789" s="8" t="s">
        <v>245</v>
      </c>
      <c r="B789" s="8" t="s">
        <v>198</v>
      </c>
      <c r="C789" s="8" t="s">
        <v>199</v>
      </c>
      <c r="D789" s="8">
        <v>17.7523615682652</v>
      </c>
      <c r="E789" s="8">
        <v>0</v>
      </c>
      <c r="F789" s="8">
        <v>0</v>
      </c>
      <c r="G789" s="8">
        <v>6.12672532631955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11"/>
      <c r="O789" s="11"/>
      <c r="P789" s="11"/>
      <c r="Q789" s="11"/>
    </row>
    <row r="790" spans="1:17">
      <c r="A790" s="8" t="s">
        <v>245</v>
      </c>
      <c r="B790" s="8" t="s">
        <v>36</v>
      </c>
      <c r="C790" s="8" t="s">
        <v>130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11"/>
      <c r="O790" s="11"/>
      <c r="P790" s="11"/>
      <c r="Q790" s="11"/>
    </row>
    <row r="791" spans="1:17">
      <c r="A791" s="8" t="s">
        <v>245</v>
      </c>
      <c r="B791" s="8" t="s">
        <v>200</v>
      </c>
      <c r="C791" s="8" t="s">
        <v>97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4.97177466621341</v>
      </c>
      <c r="N791" s="11"/>
      <c r="O791" s="11"/>
      <c r="P791" s="11"/>
      <c r="Q791" s="11"/>
    </row>
    <row r="792" spans="1:17">
      <c r="A792" s="8" t="s">
        <v>245</v>
      </c>
      <c r="B792" s="8" t="s">
        <v>200</v>
      </c>
      <c r="C792" s="8" t="s">
        <v>98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6.48913196212291</v>
      </c>
      <c r="M792" s="8">
        <v>2.55497356150507</v>
      </c>
      <c r="N792" s="11"/>
      <c r="O792" s="11"/>
      <c r="P792" s="11"/>
      <c r="Q792" s="11"/>
    </row>
    <row r="793" spans="1:17">
      <c r="A793" s="8" t="s">
        <v>245</v>
      </c>
      <c r="B793" s="8" t="s">
        <v>200</v>
      </c>
      <c r="C793" s="8" t="s">
        <v>95</v>
      </c>
      <c r="D793" s="8">
        <v>0</v>
      </c>
      <c r="E793" s="8">
        <v>0</v>
      </c>
      <c r="F793" s="8">
        <v>0</v>
      </c>
      <c r="G793" s="8">
        <v>3.52016098663168</v>
      </c>
      <c r="H793" s="8">
        <v>0</v>
      </c>
      <c r="I793" s="8">
        <v>0</v>
      </c>
      <c r="J793" s="8">
        <v>0</v>
      </c>
      <c r="K793" s="8">
        <v>2.87938527994478</v>
      </c>
      <c r="L793" s="8">
        <v>0</v>
      </c>
      <c r="M793" s="8">
        <v>0</v>
      </c>
      <c r="N793" s="11"/>
      <c r="O793" s="11"/>
      <c r="P793" s="11"/>
      <c r="Q793" s="11"/>
    </row>
    <row r="794" spans="1:17">
      <c r="A794" s="8" t="s">
        <v>245</v>
      </c>
      <c r="B794" s="8" t="s">
        <v>200</v>
      </c>
      <c r="C794" s="8" t="s">
        <v>93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11"/>
      <c r="O794" s="11"/>
      <c r="P794" s="11"/>
      <c r="Q794" s="11"/>
    </row>
    <row r="795" spans="1:17">
      <c r="A795" s="8" t="s">
        <v>245</v>
      </c>
      <c r="B795" s="8" t="s">
        <v>200</v>
      </c>
      <c r="C795" s="8" t="s">
        <v>96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11"/>
      <c r="O795" s="11"/>
      <c r="P795" s="11"/>
      <c r="Q795" s="11"/>
    </row>
    <row r="796" spans="1:17">
      <c r="A796" s="8" t="s">
        <v>245</v>
      </c>
      <c r="B796" s="8" t="s">
        <v>200</v>
      </c>
      <c r="C796" s="8" t="s">
        <v>94</v>
      </c>
      <c r="D796" s="8">
        <v>0</v>
      </c>
      <c r="E796" s="8">
        <v>0.298505584363979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4.2093147717585</v>
      </c>
      <c r="M796" s="8">
        <v>0</v>
      </c>
      <c r="N796" s="11"/>
      <c r="O796" s="11"/>
      <c r="P796" s="11"/>
      <c r="Q796" s="11"/>
    </row>
    <row r="797" spans="1:17">
      <c r="A797" s="8" t="s">
        <v>245</v>
      </c>
      <c r="B797" s="8" t="s">
        <v>201</v>
      </c>
      <c r="C797" s="8" t="s">
        <v>202</v>
      </c>
      <c r="D797" s="8">
        <v>0</v>
      </c>
      <c r="E797" s="8">
        <v>1.44843968195161</v>
      </c>
      <c r="F797" s="8">
        <v>0</v>
      </c>
      <c r="G797" s="8">
        <v>6.04910292121814</v>
      </c>
      <c r="H797" s="8">
        <v>0</v>
      </c>
      <c r="I797" s="8">
        <v>0</v>
      </c>
      <c r="J797" s="8">
        <v>0</v>
      </c>
      <c r="K797" s="8">
        <v>0</v>
      </c>
      <c r="L797" s="8">
        <v>6.51983908079858</v>
      </c>
      <c r="M797" s="8">
        <v>17.0606916113114</v>
      </c>
      <c r="N797" s="11"/>
      <c r="O797" s="11"/>
      <c r="P797" s="11"/>
      <c r="Q797" s="11"/>
    </row>
    <row r="798" spans="1:17">
      <c r="A798" s="11"/>
      <c r="B798" s="11"/>
      <c r="C798" s="11"/>
      <c r="D798" s="2" t="s">
        <v>185</v>
      </c>
      <c r="E798" s="3"/>
      <c r="F798" s="3"/>
      <c r="G798" s="3"/>
      <c r="H798" s="4"/>
      <c r="I798" s="5" t="s">
        <v>186</v>
      </c>
      <c r="J798" s="6"/>
      <c r="K798" s="6"/>
      <c r="L798" s="6"/>
      <c r="M798" s="7"/>
      <c r="N798" s="8" t="s">
        <v>203</v>
      </c>
      <c r="O798" s="8" t="s">
        <v>203</v>
      </c>
      <c r="P798" s="8" t="s">
        <v>248</v>
      </c>
      <c r="Q798" s="8" t="s">
        <v>248</v>
      </c>
    </row>
    <row r="799" spans="1:17">
      <c r="A799" s="11"/>
      <c r="B799" s="8" t="s">
        <v>245</v>
      </c>
      <c r="C799" s="8" t="s">
        <v>37</v>
      </c>
      <c r="D799" s="8">
        <f t="shared" ref="D799:M799" si="310">SUM(D783:D789)</f>
        <v>49.5958178306514</v>
      </c>
      <c r="E799" s="8">
        <f t="shared" si="310"/>
        <v>6.6813943381561</v>
      </c>
      <c r="F799" s="8">
        <f t="shared" si="310"/>
        <v>0</v>
      </c>
      <c r="G799" s="8">
        <f t="shared" si="310"/>
        <v>26.507250797259</v>
      </c>
      <c r="H799" s="8">
        <f t="shared" si="310"/>
        <v>0</v>
      </c>
      <c r="I799" s="8">
        <f t="shared" si="310"/>
        <v>0</v>
      </c>
      <c r="J799" s="8">
        <f t="shared" si="310"/>
        <v>2.5023472994347</v>
      </c>
      <c r="K799" s="8">
        <f t="shared" si="310"/>
        <v>0</v>
      </c>
      <c r="L799" s="8">
        <f t="shared" si="310"/>
        <v>16.106675157505</v>
      </c>
      <c r="M799" s="8">
        <f t="shared" si="310"/>
        <v>5.32267230792675</v>
      </c>
      <c r="N799" s="8">
        <f t="shared" ref="N799:N801" si="311">AVERAGE(D799:H799)</f>
        <v>16.5568925932133</v>
      </c>
      <c r="O799" s="8">
        <f t="shared" ref="O799:O801" si="312">AVERAGE(I799:M799)</f>
        <v>4.78633895297329</v>
      </c>
      <c r="P799" s="8">
        <f t="shared" ref="P799:P801" si="313">LOG(N799+1,2)</f>
        <v>4.13396561874321</v>
      </c>
      <c r="Q799" s="8">
        <f t="shared" ref="Q799:Q801" si="314">LOG(O799+1,2)</f>
        <v>2.53265083613493</v>
      </c>
    </row>
    <row r="800" spans="1:17">
      <c r="A800" s="11"/>
      <c r="B800" s="8" t="s">
        <v>245</v>
      </c>
      <c r="C800" s="8" t="s">
        <v>36</v>
      </c>
      <c r="D800" s="8">
        <f t="shared" ref="D800:M800" si="315">D790</f>
        <v>0</v>
      </c>
      <c r="E800" s="8">
        <f t="shared" si="315"/>
        <v>0</v>
      </c>
      <c r="F800" s="8">
        <f t="shared" si="315"/>
        <v>0</v>
      </c>
      <c r="G800" s="8">
        <f t="shared" si="315"/>
        <v>0</v>
      </c>
      <c r="H800" s="8">
        <f t="shared" si="315"/>
        <v>0</v>
      </c>
      <c r="I800" s="8">
        <f t="shared" si="315"/>
        <v>0</v>
      </c>
      <c r="J800" s="8">
        <f t="shared" si="315"/>
        <v>0</v>
      </c>
      <c r="K800" s="8">
        <f t="shared" si="315"/>
        <v>0</v>
      </c>
      <c r="L800" s="8">
        <f t="shared" si="315"/>
        <v>0</v>
      </c>
      <c r="M800" s="8">
        <f t="shared" si="315"/>
        <v>0</v>
      </c>
      <c r="N800" s="8">
        <f t="shared" si="311"/>
        <v>0</v>
      </c>
      <c r="O800" s="8">
        <f t="shared" si="312"/>
        <v>0</v>
      </c>
      <c r="P800" s="8">
        <f t="shared" si="313"/>
        <v>0</v>
      </c>
      <c r="Q800" s="8">
        <f t="shared" si="314"/>
        <v>0</v>
      </c>
    </row>
    <row r="801" spans="1:17">
      <c r="A801" s="11"/>
      <c r="B801" s="8" t="s">
        <v>245</v>
      </c>
      <c r="C801" s="8" t="s">
        <v>35</v>
      </c>
      <c r="D801" s="8">
        <f t="shared" ref="D801:M801" si="316">SUM(D791:D797)</f>
        <v>0</v>
      </c>
      <c r="E801" s="8">
        <f t="shared" si="316"/>
        <v>1.74694526631559</v>
      </c>
      <c r="F801" s="8">
        <f t="shared" si="316"/>
        <v>0</v>
      </c>
      <c r="G801" s="8">
        <f t="shared" si="316"/>
        <v>9.56926390784982</v>
      </c>
      <c r="H801" s="8">
        <f t="shared" si="316"/>
        <v>0</v>
      </c>
      <c r="I801" s="8">
        <f t="shared" si="316"/>
        <v>0</v>
      </c>
      <c r="J801" s="8">
        <f t="shared" si="316"/>
        <v>0</v>
      </c>
      <c r="K801" s="8">
        <f t="shared" si="316"/>
        <v>2.87938527994478</v>
      </c>
      <c r="L801" s="8">
        <f t="shared" si="316"/>
        <v>17.21828581468</v>
      </c>
      <c r="M801" s="8">
        <f t="shared" si="316"/>
        <v>24.5874398390299</v>
      </c>
      <c r="N801" s="8">
        <f t="shared" si="311"/>
        <v>2.26324183483308</v>
      </c>
      <c r="O801" s="8">
        <f t="shared" si="312"/>
        <v>8.93702218673093</v>
      </c>
      <c r="P801" s="8">
        <f t="shared" si="313"/>
        <v>1.70630590774422</v>
      </c>
      <c r="Q801" s="8">
        <f t="shared" si="314"/>
        <v>3.31281358618683</v>
      </c>
    </row>
    <row r="802" spans="1:1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8"/>
      <c r="O802" s="8"/>
      <c r="P802" s="11"/>
      <c r="Q802" s="11"/>
    </row>
    <row r="803" spans="1:17">
      <c r="A803" s="11"/>
      <c r="B803" s="8" t="s">
        <v>245</v>
      </c>
      <c r="C803" s="8" t="s">
        <v>37</v>
      </c>
      <c r="D803" s="8">
        <f t="shared" ref="D803:M803" si="317">LOG(D799+1,2)</f>
        <v>5.66094623387145</v>
      </c>
      <c r="E803" s="8">
        <f t="shared" si="317"/>
        <v>2.94136821487317</v>
      </c>
      <c r="F803" s="8">
        <f t="shared" si="317"/>
        <v>0</v>
      </c>
      <c r="G803" s="8">
        <f t="shared" si="317"/>
        <v>4.78174005208574</v>
      </c>
      <c r="H803" s="8">
        <f t="shared" si="317"/>
        <v>0</v>
      </c>
      <c r="I803" s="8">
        <f t="shared" si="317"/>
        <v>0</v>
      </c>
      <c r="J803" s="8">
        <f t="shared" si="317"/>
        <v>1.80832215125546</v>
      </c>
      <c r="K803" s="8">
        <f t="shared" si="317"/>
        <v>0</v>
      </c>
      <c r="L803" s="8">
        <f t="shared" si="317"/>
        <v>4.09648748067061</v>
      </c>
      <c r="M803" s="15">
        <f t="shared" si="317"/>
        <v>2.66053444931107</v>
      </c>
      <c r="N803" s="8"/>
      <c r="O803" s="8"/>
      <c r="P803" s="11"/>
      <c r="Q803" s="11"/>
    </row>
    <row r="804" spans="1:17">
      <c r="A804" s="11"/>
      <c r="B804" s="8" t="s">
        <v>245</v>
      </c>
      <c r="C804" s="8" t="s">
        <v>36</v>
      </c>
      <c r="D804" s="8">
        <f t="shared" ref="D804:M804" si="318">LOG(D800+1,2)</f>
        <v>0</v>
      </c>
      <c r="E804" s="8">
        <f t="shared" si="318"/>
        <v>0</v>
      </c>
      <c r="F804" s="8">
        <f t="shared" si="318"/>
        <v>0</v>
      </c>
      <c r="G804" s="8">
        <f t="shared" si="318"/>
        <v>0</v>
      </c>
      <c r="H804" s="8">
        <f t="shared" si="318"/>
        <v>0</v>
      </c>
      <c r="I804" s="8">
        <f t="shared" si="318"/>
        <v>0</v>
      </c>
      <c r="J804" s="8">
        <f t="shared" si="318"/>
        <v>0</v>
      </c>
      <c r="K804" s="8">
        <f t="shared" si="318"/>
        <v>0</v>
      </c>
      <c r="L804" s="8">
        <f t="shared" si="318"/>
        <v>0</v>
      </c>
      <c r="M804" s="15">
        <f t="shared" si="318"/>
        <v>0</v>
      </c>
      <c r="N804" s="8"/>
      <c r="O804" s="8"/>
      <c r="P804" s="11"/>
      <c r="Q804" s="11"/>
    </row>
    <row r="805" spans="1:17">
      <c r="A805" s="11"/>
      <c r="B805" s="8" t="s">
        <v>245</v>
      </c>
      <c r="C805" s="8" t="s">
        <v>35</v>
      </c>
      <c r="D805" s="8">
        <f t="shared" ref="D805:M805" si="319">LOG(D801+1,2)</f>
        <v>0</v>
      </c>
      <c r="E805" s="8">
        <f t="shared" si="319"/>
        <v>1.45782816458131</v>
      </c>
      <c r="F805" s="8">
        <f t="shared" si="319"/>
        <v>0</v>
      </c>
      <c r="G805" s="8">
        <f t="shared" si="319"/>
        <v>3.40180299918851</v>
      </c>
      <c r="H805" s="8">
        <f t="shared" si="319"/>
        <v>0</v>
      </c>
      <c r="I805" s="8">
        <f t="shared" si="319"/>
        <v>0</v>
      </c>
      <c r="J805" s="8">
        <f t="shared" si="319"/>
        <v>0</v>
      </c>
      <c r="K805" s="8">
        <f t="shared" si="319"/>
        <v>1.95582806379486</v>
      </c>
      <c r="L805" s="8">
        <f t="shared" si="319"/>
        <v>4.18731531511388</v>
      </c>
      <c r="M805" s="15">
        <f t="shared" si="319"/>
        <v>4.67736390008777</v>
      </c>
      <c r="N805" s="8"/>
      <c r="O805" s="8"/>
      <c r="P805" s="11"/>
      <c r="Q805" s="11"/>
    </row>
    <row r="806" spans="1:1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>
      <c r="A808" s="8" t="s">
        <v>246</v>
      </c>
      <c r="B808" s="8" t="s">
        <v>188</v>
      </c>
      <c r="C808" s="8" t="s">
        <v>189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11"/>
      <c r="O808" s="11"/>
      <c r="P808" s="11"/>
      <c r="Q808" s="11"/>
    </row>
    <row r="809" spans="1:17">
      <c r="A809" s="8" t="s">
        <v>246</v>
      </c>
      <c r="B809" s="8" t="s">
        <v>190</v>
      </c>
      <c r="C809" s="8" t="s">
        <v>191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11"/>
      <c r="O809" s="11"/>
      <c r="P809" s="11"/>
      <c r="Q809" s="11"/>
    </row>
    <row r="810" spans="1:17">
      <c r="A810" s="8" t="s">
        <v>246</v>
      </c>
      <c r="B810" s="8" t="s">
        <v>192</v>
      </c>
      <c r="C810" s="8" t="s">
        <v>193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11"/>
      <c r="O810" s="11"/>
      <c r="P810" s="11"/>
      <c r="Q810" s="11"/>
    </row>
    <row r="811" spans="1:17">
      <c r="A811" s="8" t="s">
        <v>246</v>
      </c>
      <c r="B811" s="8" t="s">
        <v>192</v>
      </c>
      <c r="C811" s="8" t="s">
        <v>194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11"/>
      <c r="O811" s="11"/>
      <c r="P811" s="11"/>
      <c r="Q811" s="11"/>
    </row>
    <row r="812" spans="1:17">
      <c r="A812" s="8" t="s">
        <v>246</v>
      </c>
      <c r="B812" s="8" t="s">
        <v>195</v>
      </c>
      <c r="C812" s="8" t="s">
        <v>196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11"/>
      <c r="O812" s="11"/>
      <c r="P812" s="11"/>
      <c r="Q812" s="11"/>
    </row>
    <row r="813" spans="1:17">
      <c r="A813" s="8" t="s">
        <v>246</v>
      </c>
      <c r="B813" s="8" t="s">
        <v>195</v>
      </c>
      <c r="C813" s="8" t="s">
        <v>197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11"/>
      <c r="O813" s="11"/>
      <c r="P813" s="11"/>
      <c r="Q813" s="11"/>
    </row>
    <row r="814" spans="1:17">
      <c r="A814" s="8" t="s">
        <v>246</v>
      </c>
      <c r="B814" s="8" t="s">
        <v>198</v>
      </c>
      <c r="C814" s="8" t="s">
        <v>199</v>
      </c>
      <c r="D814" s="8">
        <v>7.59611994635906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11"/>
      <c r="O814" s="11"/>
      <c r="P814" s="11"/>
      <c r="Q814" s="11"/>
    </row>
    <row r="815" spans="1:17">
      <c r="A815" s="8" t="s">
        <v>246</v>
      </c>
      <c r="B815" s="8" t="s">
        <v>36</v>
      </c>
      <c r="C815" s="8" t="s">
        <v>130</v>
      </c>
      <c r="D815" s="8">
        <v>0</v>
      </c>
      <c r="E815" s="8">
        <v>0</v>
      </c>
      <c r="F815" s="8">
        <v>1.49818331833929</v>
      </c>
      <c r="G815" s="8">
        <v>0</v>
      </c>
      <c r="H815" s="8">
        <v>0</v>
      </c>
      <c r="I815" s="8">
        <v>0</v>
      </c>
      <c r="J815" s="8">
        <v>6.48401334146285</v>
      </c>
      <c r="K815" s="8">
        <v>0</v>
      </c>
      <c r="L815" s="8">
        <v>0</v>
      </c>
      <c r="M815" s="8">
        <v>0</v>
      </c>
      <c r="N815" s="11"/>
      <c r="O815" s="11"/>
      <c r="P815" s="11"/>
      <c r="Q815" s="11"/>
    </row>
    <row r="816" spans="1:17">
      <c r="A816" s="8" t="s">
        <v>246</v>
      </c>
      <c r="B816" s="8" t="s">
        <v>200</v>
      </c>
      <c r="C816" s="8" t="s">
        <v>97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5.48086475631185</v>
      </c>
      <c r="L816" s="8">
        <v>12.8104484807237</v>
      </c>
      <c r="M816" s="8">
        <v>0</v>
      </c>
      <c r="N816" s="11"/>
      <c r="O816" s="11"/>
      <c r="P816" s="11"/>
      <c r="Q816" s="11"/>
    </row>
    <row r="817" spans="1:17">
      <c r="A817" s="8" t="s">
        <v>246</v>
      </c>
      <c r="B817" s="8" t="s">
        <v>200</v>
      </c>
      <c r="C817" s="8" t="s">
        <v>98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7.28670721473025</v>
      </c>
      <c r="K817" s="8">
        <v>0</v>
      </c>
      <c r="L817" s="8">
        <v>0</v>
      </c>
      <c r="M817" s="8">
        <v>0</v>
      </c>
      <c r="N817" s="11"/>
      <c r="O817" s="11"/>
      <c r="P817" s="11"/>
      <c r="Q817" s="11"/>
    </row>
    <row r="818" spans="1:17">
      <c r="A818" s="8" t="s">
        <v>246</v>
      </c>
      <c r="B818" s="8" t="s">
        <v>200</v>
      </c>
      <c r="C818" s="8" t="s">
        <v>95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4.03553986005815</v>
      </c>
      <c r="M818" s="8">
        <v>0</v>
      </c>
      <c r="N818" s="11"/>
      <c r="O818" s="11"/>
      <c r="P818" s="11"/>
      <c r="Q818" s="11"/>
    </row>
    <row r="819" spans="1:17">
      <c r="A819" s="8" t="s">
        <v>246</v>
      </c>
      <c r="B819" s="8" t="s">
        <v>200</v>
      </c>
      <c r="C819" s="8" t="s">
        <v>93</v>
      </c>
      <c r="D819" s="8">
        <v>0</v>
      </c>
      <c r="E819" s="8">
        <v>1.96175580415294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2.44176513549226</v>
      </c>
      <c r="L819" s="8">
        <v>0</v>
      </c>
      <c r="M819" s="8">
        <v>0</v>
      </c>
      <c r="N819" s="11"/>
      <c r="O819" s="11"/>
      <c r="P819" s="11"/>
      <c r="Q819" s="11"/>
    </row>
    <row r="820" spans="1:17">
      <c r="A820" s="8" t="s">
        <v>246</v>
      </c>
      <c r="B820" s="8" t="s">
        <v>200</v>
      </c>
      <c r="C820" s="8" t="s">
        <v>96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11"/>
      <c r="O820" s="11"/>
      <c r="P820" s="11"/>
      <c r="Q820" s="11"/>
    </row>
    <row r="821" spans="1:17">
      <c r="A821" s="8" t="s">
        <v>246</v>
      </c>
      <c r="B821" s="8" t="s">
        <v>200</v>
      </c>
      <c r="C821" s="8" t="s">
        <v>94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2.27482059351094</v>
      </c>
      <c r="L821" s="8">
        <v>2.00133655497162</v>
      </c>
      <c r="M821" s="8">
        <v>0</v>
      </c>
      <c r="N821" s="11"/>
      <c r="O821" s="11"/>
      <c r="P821" s="11"/>
      <c r="Q821" s="11"/>
    </row>
    <row r="822" spans="1:17">
      <c r="A822" s="8" t="s">
        <v>246</v>
      </c>
      <c r="B822" s="8" t="s">
        <v>201</v>
      </c>
      <c r="C822" s="8" t="s">
        <v>202</v>
      </c>
      <c r="D822" s="8">
        <v>0</v>
      </c>
      <c r="E822" s="8">
        <v>4.81277296758869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2.95790326214704</v>
      </c>
      <c r="M822" s="8">
        <v>0</v>
      </c>
      <c r="N822" s="11"/>
      <c r="O822" s="11"/>
      <c r="P822" s="11"/>
      <c r="Q822" s="11"/>
    </row>
    <row r="823" spans="1:17">
      <c r="A823" s="11"/>
      <c r="B823" s="11"/>
      <c r="C823" s="11"/>
      <c r="D823" s="2" t="s">
        <v>185</v>
      </c>
      <c r="E823" s="3"/>
      <c r="F823" s="3"/>
      <c r="G823" s="3"/>
      <c r="H823" s="4"/>
      <c r="I823" s="5" t="s">
        <v>186</v>
      </c>
      <c r="J823" s="6"/>
      <c r="K823" s="6"/>
      <c r="L823" s="6"/>
      <c r="M823" s="7"/>
      <c r="N823" s="8" t="s">
        <v>203</v>
      </c>
      <c r="O823" s="8" t="s">
        <v>203</v>
      </c>
      <c r="P823" s="8" t="s">
        <v>248</v>
      </c>
      <c r="Q823" s="8" t="s">
        <v>248</v>
      </c>
    </row>
    <row r="824" spans="1:17">
      <c r="A824" s="11"/>
      <c r="B824" s="8" t="s">
        <v>246</v>
      </c>
      <c r="C824" s="8" t="s">
        <v>37</v>
      </c>
      <c r="D824" s="8">
        <f t="shared" ref="D824:M824" si="320">SUM(D808:D814)</f>
        <v>7.59611994635906</v>
      </c>
      <c r="E824" s="8">
        <f t="shared" si="320"/>
        <v>0</v>
      </c>
      <c r="F824" s="8">
        <f t="shared" si="320"/>
        <v>0</v>
      </c>
      <c r="G824" s="8">
        <f t="shared" si="320"/>
        <v>0</v>
      </c>
      <c r="H824" s="8">
        <f t="shared" si="320"/>
        <v>0</v>
      </c>
      <c r="I824" s="8">
        <f t="shared" si="320"/>
        <v>0</v>
      </c>
      <c r="J824" s="8">
        <f t="shared" si="320"/>
        <v>0</v>
      </c>
      <c r="K824" s="8">
        <f t="shared" si="320"/>
        <v>0</v>
      </c>
      <c r="L824" s="8">
        <f t="shared" si="320"/>
        <v>0</v>
      </c>
      <c r="M824" s="8">
        <f t="shared" si="320"/>
        <v>0</v>
      </c>
      <c r="N824" s="8">
        <f t="shared" ref="N824:N826" si="321">AVERAGE(D824:H824)</f>
        <v>1.51922398927181</v>
      </c>
      <c r="O824" s="8">
        <f t="shared" ref="O824:O826" si="322">AVERAGE(I824:M824)</f>
        <v>0</v>
      </c>
      <c r="P824" s="8">
        <f t="shared" ref="P824:P826" si="323">LOG(N824+1,2)</f>
        <v>1.33297940069278</v>
      </c>
      <c r="Q824" s="8">
        <f t="shared" ref="Q824:Q826" si="324">LOG(O824+1,2)</f>
        <v>0</v>
      </c>
    </row>
    <row r="825" spans="1:17">
      <c r="A825" s="11"/>
      <c r="B825" s="8" t="s">
        <v>246</v>
      </c>
      <c r="C825" s="8" t="s">
        <v>36</v>
      </c>
      <c r="D825" s="8">
        <f t="shared" ref="D825:M825" si="325">D815</f>
        <v>0</v>
      </c>
      <c r="E825" s="8">
        <f t="shared" si="325"/>
        <v>0</v>
      </c>
      <c r="F825" s="8">
        <f t="shared" si="325"/>
        <v>1.49818331833929</v>
      </c>
      <c r="G825" s="8">
        <f t="shared" si="325"/>
        <v>0</v>
      </c>
      <c r="H825" s="8">
        <f t="shared" si="325"/>
        <v>0</v>
      </c>
      <c r="I825" s="8">
        <f t="shared" si="325"/>
        <v>0</v>
      </c>
      <c r="J825" s="8">
        <f t="shared" si="325"/>
        <v>6.48401334146285</v>
      </c>
      <c r="K825" s="8">
        <f t="shared" si="325"/>
        <v>0</v>
      </c>
      <c r="L825" s="8">
        <f t="shared" si="325"/>
        <v>0</v>
      </c>
      <c r="M825" s="8">
        <f t="shared" si="325"/>
        <v>0</v>
      </c>
      <c r="N825" s="8">
        <f t="shared" si="321"/>
        <v>0.299636663667858</v>
      </c>
      <c r="O825" s="8">
        <f t="shared" si="322"/>
        <v>1.29680266829257</v>
      </c>
      <c r="P825" s="8">
        <f t="shared" si="323"/>
        <v>0.378108348799807</v>
      </c>
      <c r="Q825" s="8">
        <f t="shared" si="324"/>
        <v>1.19962691169841</v>
      </c>
    </row>
    <row r="826" spans="1:17">
      <c r="A826" s="11"/>
      <c r="B826" s="8" t="s">
        <v>246</v>
      </c>
      <c r="C826" s="8" t="s">
        <v>35</v>
      </c>
      <c r="D826" s="8">
        <f t="shared" ref="D826:M826" si="326">SUM(D816:D822)</f>
        <v>0</v>
      </c>
      <c r="E826" s="8">
        <f t="shared" si="326"/>
        <v>6.77452877174163</v>
      </c>
      <c r="F826" s="8">
        <f t="shared" si="326"/>
        <v>0</v>
      </c>
      <c r="G826" s="8">
        <f t="shared" si="326"/>
        <v>0</v>
      </c>
      <c r="H826" s="8">
        <f t="shared" si="326"/>
        <v>0</v>
      </c>
      <c r="I826" s="8">
        <f t="shared" si="326"/>
        <v>0</v>
      </c>
      <c r="J826" s="8">
        <f t="shared" si="326"/>
        <v>7.28670721473025</v>
      </c>
      <c r="K826" s="8">
        <f t="shared" si="326"/>
        <v>10.1974504853151</v>
      </c>
      <c r="L826" s="8">
        <f t="shared" si="326"/>
        <v>21.8052281579005</v>
      </c>
      <c r="M826" s="8">
        <f t="shared" si="326"/>
        <v>0</v>
      </c>
      <c r="N826" s="8">
        <f t="shared" si="321"/>
        <v>1.35490575434833</v>
      </c>
      <c r="O826" s="8">
        <f t="shared" si="322"/>
        <v>7.85787717158916</v>
      </c>
      <c r="P826" s="8">
        <f t="shared" si="323"/>
        <v>1.23566932291447</v>
      </c>
      <c r="Q826" s="8">
        <f t="shared" si="324"/>
        <v>3.14696099212413</v>
      </c>
    </row>
    <row r="827" spans="1:1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8"/>
      <c r="O827" s="8"/>
      <c r="P827" s="11"/>
      <c r="Q827" s="11"/>
    </row>
    <row r="828" spans="1:17">
      <c r="A828" s="11"/>
      <c r="B828" s="8" t="s">
        <v>246</v>
      </c>
      <c r="C828" s="8" t="s">
        <v>37</v>
      </c>
      <c r="D828" s="8">
        <f t="shared" ref="D828:M828" si="327">LOG(D824+1,2)</f>
        <v>3.10368561361843</v>
      </c>
      <c r="E828" s="8">
        <f t="shared" si="327"/>
        <v>0</v>
      </c>
      <c r="F828" s="8">
        <f t="shared" si="327"/>
        <v>0</v>
      </c>
      <c r="G828" s="8">
        <f t="shared" si="327"/>
        <v>0</v>
      </c>
      <c r="H828" s="8">
        <f t="shared" si="327"/>
        <v>0</v>
      </c>
      <c r="I828" s="8">
        <f t="shared" si="327"/>
        <v>0</v>
      </c>
      <c r="J828" s="8">
        <f t="shared" si="327"/>
        <v>0</v>
      </c>
      <c r="K828" s="8">
        <f t="shared" si="327"/>
        <v>0</v>
      </c>
      <c r="L828" s="8">
        <f t="shared" si="327"/>
        <v>0</v>
      </c>
      <c r="M828" s="15">
        <f t="shared" si="327"/>
        <v>0</v>
      </c>
      <c r="N828" s="8"/>
      <c r="O828" s="8"/>
      <c r="P828" s="11"/>
      <c r="Q828" s="11"/>
    </row>
    <row r="829" spans="1:17">
      <c r="A829" s="11"/>
      <c r="B829" s="8" t="s">
        <v>246</v>
      </c>
      <c r="C829" s="8" t="s">
        <v>36</v>
      </c>
      <c r="D829" s="8">
        <f t="shared" ref="D829:M829" si="328">LOG(D825+1,2)</f>
        <v>0</v>
      </c>
      <c r="E829" s="8">
        <f t="shared" si="328"/>
        <v>0</v>
      </c>
      <c r="F829" s="8">
        <f t="shared" si="328"/>
        <v>1.32087934674378</v>
      </c>
      <c r="G829" s="8">
        <f t="shared" si="328"/>
        <v>0</v>
      </c>
      <c r="H829" s="8">
        <f t="shared" si="328"/>
        <v>0</v>
      </c>
      <c r="I829" s="8">
        <f t="shared" si="328"/>
        <v>0</v>
      </c>
      <c r="J829" s="8">
        <f t="shared" si="328"/>
        <v>2.90381213041797</v>
      </c>
      <c r="K829" s="8">
        <f t="shared" si="328"/>
        <v>0</v>
      </c>
      <c r="L829" s="8">
        <f t="shared" si="328"/>
        <v>0</v>
      </c>
      <c r="M829" s="15">
        <f t="shared" si="328"/>
        <v>0</v>
      </c>
      <c r="N829" s="8"/>
      <c r="O829" s="8"/>
      <c r="P829" s="11"/>
      <c r="Q829" s="11"/>
    </row>
    <row r="830" spans="1:17">
      <c r="A830" s="11"/>
      <c r="B830" s="8" t="s">
        <v>246</v>
      </c>
      <c r="C830" s="8" t="s">
        <v>35</v>
      </c>
      <c r="D830" s="8">
        <f t="shared" ref="D830:M830" si="329">LOG(D826+1,2)</f>
        <v>0</v>
      </c>
      <c r="E830" s="8">
        <f t="shared" si="329"/>
        <v>2.95875523353595</v>
      </c>
      <c r="F830" s="8">
        <f t="shared" si="329"/>
        <v>0</v>
      </c>
      <c r="G830" s="8">
        <f t="shared" si="329"/>
        <v>0</v>
      </c>
      <c r="H830" s="8">
        <f t="shared" si="329"/>
        <v>0</v>
      </c>
      <c r="I830" s="8">
        <f t="shared" si="329"/>
        <v>0</v>
      </c>
      <c r="J830" s="8">
        <f t="shared" si="329"/>
        <v>3.05079894989053</v>
      </c>
      <c r="K830" s="8">
        <f t="shared" si="329"/>
        <v>3.48509838155444</v>
      </c>
      <c r="L830" s="8">
        <f t="shared" si="329"/>
        <v>4.51129269878726</v>
      </c>
      <c r="M830" s="15">
        <f t="shared" si="329"/>
        <v>0</v>
      </c>
      <c r="N830" s="8"/>
      <c r="O830" s="8"/>
      <c r="P830" s="11"/>
      <c r="Q830" s="11"/>
    </row>
    <row r="831" spans="1:1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>
      <c r="A833" s="8" t="s">
        <v>247</v>
      </c>
      <c r="B833" s="8" t="s">
        <v>188</v>
      </c>
      <c r="C833" s="8" t="s">
        <v>189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11"/>
      <c r="O833" s="11"/>
      <c r="P833" s="11"/>
      <c r="Q833" s="11"/>
    </row>
    <row r="834" spans="1:17">
      <c r="A834" s="8" t="s">
        <v>247</v>
      </c>
      <c r="B834" s="8" t="s">
        <v>190</v>
      </c>
      <c r="C834" s="8" t="s">
        <v>191</v>
      </c>
      <c r="D834" s="8">
        <v>0</v>
      </c>
      <c r="E834" s="8">
        <v>4.17684282087847</v>
      </c>
      <c r="F834" s="8">
        <v>0</v>
      </c>
      <c r="G834" s="8">
        <v>5.87129013360813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11"/>
      <c r="O834" s="11"/>
      <c r="P834" s="11"/>
      <c r="Q834" s="11"/>
    </row>
    <row r="835" spans="1:17">
      <c r="A835" s="8" t="s">
        <v>247</v>
      </c>
      <c r="B835" s="8" t="s">
        <v>192</v>
      </c>
      <c r="C835" s="8" t="s">
        <v>193</v>
      </c>
      <c r="D835" s="8">
        <v>0</v>
      </c>
      <c r="E835" s="8">
        <v>0</v>
      </c>
      <c r="F835" s="8">
        <v>0</v>
      </c>
      <c r="G835" s="8">
        <v>10.049654681896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11"/>
      <c r="O835" s="11"/>
      <c r="P835" s="11"/>
      <c r="Q835" s="11"/>
    </row>
    <row r="836" spans="1:17">
      <c r="A836" s="8" t="s">
        <v>247</v>
      </c>
      <c r="B836" s="8" t="s">
        <v>192</v>
      </c>
      <c r="C836" s="8" t="s">
        <v>194</v>
      </c>
      <c r="D836" s="8">
        <v>0</v>
      </c>
      <c r="E836" s="8">
        <v>0</v>
      </c>
      <c r="F836" s="8">
        <v>0</v>
      </c>
      <c r="G836" s="8">
        <v>5.13563452201355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11"/>
      <c r="O836" s="11"/>
      <c r="P836" s="11"/>
      <c r="Q836" s="11"/>
    </row>
    <row r="837" spans="1:17">
      <c r="A837" s="8" t="s">
        <v>247</v>
      </c>
      <c r="B837" s="8" t="s">
        <v>195</v>
      </c>
      <c r="C837" s="8" t="s">
        <v>196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11"/>
      <c r="O837" s="11"/>
      <c r="P837" s="11"/>
      <c r="Q837" s="11"/>
    </row>
    <row r="838" spans="1:17">
      <c r="A838" s="8" t="s">
        <v>247</v>
      </c>
      <c r="B838" s="8" t="s">
        <v>195</v>
      </c>
      <c r="C838" s="8" t="s">
        <v>197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11"/>
      <c r="O838" s="11"/>
      <c r="P838" s="11"/>
      <c r="Q838" s="11"/>
    </row>
    <row r="839" spans="1:17">
      <c r="A839" s="8" t="s">
        <v>247</v>
      </c>
      <c r="B839" s="8" t="s">
        <v>198</v>
      </c>
      <c r="C839" s="8" t="s">
        <v>199</v>
      </c>
      <c r="D839" s="8">
        <v>11.1784584114946</v>
      </c>
      <c r="E839" s="8">
        <v>0</v>
      </c>
      <c r="F839" s="8">
        <v>16.8174085528421</v>
      </c>
      <c r="G839" s="8">
        <v>0</v>
      </c>
      <c r="H839" s="8">
        <v>0</v>
      </c>
      <c r="I839" s="8">
        <v>1.32135624643468</v>
      </c>
      <c r="J839" s="8">
        <v>0</v>
      </c>
      <c r="K839" s="8">
        <v>0</v>
      </c>
      <c r="L839" s="8">
        <v>0</v>
      </c>
      <c r="M839" s="8">
        <v>0</v>
      </c>
      <c r="N839" s="11"/>
      <c r="O839" s="11"/>
      <c r="P839" s="11"/>
      <c r="Q839" s="11"/>
    </row>
    <row r="840" spans="1:17">
      <c r="A840" s="8" t="s">
        <v>247</v>
      </c>
      <c r="B840" s="8" t="s">
        <v>36</v>
      </c>
      <c r="C840" s="8" t="s">
        <v>130</v>
      </c>
      <c r="D840" s="8">
        <v>0</v>
      </c>
      <c r="E840" s="8">
        <v>0</v>
      </c>
      <c r="F840" s="8">
        <v>6.05790142000995</v>
      </c>
      <c r="G840" s="8">
        <v>0</v>
      </c>
      <c r="H840" s="8">
        <v>0</v>
      </c>
      <c r="I840" s="8">
        <v>0</v>
      </c>
      <c r="J840" s="8">
        <v>55.1599903248622</v>
      </c>
      <c r="K840" s="8">
        <v>0</v>
      </c>
      <c r="L840" s="8">
        <v>0</v>
      </c>
      <c r="M840" s="8">
        <v>3.67059744339161</v>
      </c>
      <c r="N840" s="11"/>
      <c r="O840" s="11"/>
      <c r="P840" s="11"/>
      <c r="Q840" s="11"/>
    </row>
    <row r="841" spans="1:17">
      <c r="A841" s="8" t="s">
        <v>247</v>
      </c>
      <c r="B841" s="8" t="s">
        <v>200</v>
      </c>
      <c r="C841" s="8" t="s">
        <v>97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6.12283239773698</v>
      </c>
      <c r="L841" s="8">
        <v>0</v>
      </c>
      <c r="M841" s="8">
        <v>0</v>
      </c>
      <c r="N841" s="11"/>
      <c r="O841" s="11"/>
      <c r="P841" s="11"/>
      <c r="Q841" s="11"/>
    </row>
    <row r="842" spans="1:17">
      <c r="A842" s="8" t="s">
        <v>247</v>
      </c>
      <c r="B842" s="8" t="s">
        <v>200</v>
      </c>
      <c r="C842" s="8" t="s">
        <v>98</v>
      </c>
      <c r="D842" s="8">
        <v>0</v>
      </c>
      <c r="E842" s="8">
        <v>21.7126335895997</v>
      </c>
      <c r="F842" s="8">
        <v>0</v>
      </c>
      <c r="G842" s="8">
        <v>3.24128069537557</v>
      </c>
      <c r="H842" s="8">
        <v>0</v>
      </c>
      <c r="I842" s="8">
        <v>0</v>
      </c>
      <c r="J842" s="8">
        <v>21.0778607388355</v>
      </c>
      <c r="K842" s="8">
        <v>0</v>
      </c>
      <c r="L842" s="8">
        <v>1.62124326987495</v>
      </c>
      <c r="M842" s="8">
        <v>0.693194207842061</v>
      </c>
      <c r="N842" s="11"/>
      <c r="O842" s="11"/>
      <c r="P842" s="11"/>
      <c r="Q842" s="11"/>
    </row>
    <row r="843" spans="1:17">
      <c r="A843" s="8" t="s">
        <v>247</v>
      </c>
      <c r="B843" s="8" t="s">
        <v>200</v>
      </c>
      <c r="C843" s="8" t="s">
        <v>95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5.164893364921</v>
      </c>
      <c r="L843" s="8">
        <v>0</v>
      </c>
      <c r="M843" s="8">
        <v>0</v>
      </c>
      <c r="N843" s="11"/>
      <c r="O843" s="11"/>
      <c r="P843" s="11"/>
      <c r="Q843" s="11"/>
    </row>
    <row r="844" spans="1:17">
      <c r="A844" s="8" t="s">
        <v>247</v>
      </c>
      <c r="B844" s="8" t="s">
        <v>200</v>
      </c>
      <c r="C844" s="8" t="s">
        <v>93</v>
      </c>
      <c r="D844" s="8">
        <v>0</v>
      </c>
      <c r="E844" s="8">
        <v>0</v>
      </c>
      <c r="F844" s="8">
        <v>0</v>
      </c>
      <c r="G844" s="8">
        <v>6.74408115300849</v>
      </c>
      <c r="H844" s="8">
        <v>0</v>
      </c>
      <c r="I844" s="8">
        <v>0</v>
      </c>
      <c r="J844" s="8">
        <v>0</v>
      </c>
      <c r="K844" s="8">
        <v>1.73289070965986</v>
      </c>
      <c r="L844" s="8">
        <v>0.314518147838945</v>
      </c>
      <c r="M844" s="8">
        <v>1.48446491158052</v>
      </c>
      <c r="N844" s="11"/>
      <c r="O844" s="11"/>
      <c r="P844" s="11"/>
      <c r="Q844" s="11"/>
    </row>
    <row r="845" spans="1:17">
      <c r="A845" s="8" t="s">
        <v>247</v>
      </c>
      <c r="B845" s="8" t="s">
        <v>200</v>
      </c>
      <c r="C845" s="8" t="s">
        <v>96</v>
      </c>
      <c r="D845" s="8">
        <v>0</v>
      </c>
      <c r="E845" s="8">
        <v>1.26703308891491</v>
      </c>
      <c r="F845" s="8">
        <v>0</v>
      </c>
      <c r="G845" s="8">
        <v>0.373042266626788</v>
      </c>
      <c r="H845" s="8">
        <v>0</v>
      </c>
      <c r="I845" s="8">
        <v>0</v>
      </c>
      <c r="J845" s="8">
        <v>0</v>
      </c>
      <c r="K845" s="8">
        <v>13.4822917695067</v>
      </c>
      <c r="L845" s="8">
        <v>1.57920603364711</v>
      </c>
      <c r="M845" s="8">
        <v>0</v>
      </c>
      <c r="N845" s="11"/>
      <c r="O845" s="11"/>
      <c r="P845" s="11"/>
      <c r="Q845" s="11"/>
    </row>
    <row r="846" spans="1:17">
      <c r="A846" s="8" t="s">
        <v>247</v>
      </c>
      <c r="B846" s="8" t="s">
        <v>200</v>
      </c>
      <c r="C846" s="8" t="s">
        <v>94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4.03359890247604</v>
      </c>
      <c r="L846" s="8">
        <v>4.75868667947003</v>
      </c>
      <c r="M846" s="8">
        <v>0</v>
      </c>
      <c r="N846" s="11"/>
      <c r="O846" s="11"/>
      <c r="P846" s="11"/>
      <c r="Q846" s="11"/>
    </row>
    <row r="847" spans="1:17">
      <c r="A847" s="8" t="s">
        <v>247</v>
      </c>
      <c r="B847" s="8" t="s">
        <v>201</v>
      </c>
      <c r="C847" s="8" t="s">
        <v>202</v>
      </c>
      <c r="D847" s="8">
        <v>0</v>
      </c>
      <c r="E847" s="8">
        <v>0</v>
      </c>
      <c r="F847" s="8">
        <v>0</v>
      </c>
      <c r="G847" s="8">
        <v>27.0559279931195</v>
      </c>
      <c r="H847" s="8">
        <v>0</v>
      </c>
      <c r="I847" s="8">
        <v>0</v>
      </c>
      <c r="J847" s="8">
        <v>0</v>
      </c>
      <c r="K847" s="8">
        <v>72.3012935064016</v>
      </c>
      <c r="L847" s="8">
        <v>14.0808263919997</v>
      </c>
      <c r="M847" s="8">
        <v>57.149545487243</v>
      </c>
      <c r="N847" s="11"/>
      <c r="O847" s="11"/>
      <c r="P847" s="11"/>
      <c r="Q847" s="11"/>
    </row>
    <row r="848" spans="1:17">
      <c r="A848" s="11"/>
      <c r="B848" s="11"/>
      <c r="C848" s="11"/>
      <c r="D848" s="2" t="s">
        <v>185</v>
      </c>
      <c r="E848" s="3"/>
      <c r="F848" s="3"/>
      <c r="G848" s="3"/>
      <c r="H848" s="4"/>
      <c r="I848" s="5" t="s">
        <v>186</v>
      </c>
      <c r="J848" s="6"/>
      <c r="K848" s="6"/>
      <c r="L848" s="6"/>
      <c r="M848" s="7"/>
      <c r="N848" s="8" t="s">
        <v>203</v>
      </c>
      <c r="O848" s="8" t="s">
        <v>203</v>
      </c>
      <c r="P848" s="8" t="s">
        <v>248</v>
      </c>
      <c r="Q848" s="8" t="s">
        <v>248</v>
      </c>
    </row>
    <row r="849" spans="1:17">
      <c r="A849" s="11"/>
      <c r="B849" s="8" t="s">
        <v>247</v>
      </c>
      <c r="C849" s="8" t="s">
        <v>37</v>
      </c>
      <c r="D849" s="8">
        <f t="shared" ref="D849:M849" si="330">SUM(D833:D839)</f>
        <v>11.1784584114946</v>
      </c>
      <c r="E849" s="8">
        <f t="shared" si="330"/>
        <v>4.17684282087847</v>
      </c>
      <c r="F849" s="8">
        <f t="shared" si="330"/>
        <v>16.8174085528421</v>
      </c>
      <c r="G849" s="8">
        <f t="shared" si="330"/>
        <v>21.0565793375177</v>
      </c>
      <c r="H849" s="8">
        <f t="shared" si="330"/>
        <v>0</v>
      </c>
      <c r="I849" s="8">
        <f t="shared" si="330"/>
        <v>1.32135624643468</v>
      </c>
      <c r="J849" s="8">
        <f t="shared" si="330"/>
        <v>0</v>
      </c>
      <c r="K849" s="8">
        <f t="shared" si="330"/>
        <v>0</v>
      </c>
      <c r="L849" s="8">
        <f t="shared" si="330"/>
        <v>0</v>
      </c>
      <c r="M849" s="8">
        <f t="shared" si="330"/>
        <v>0</v>
      </c>
      <c r="N849" s="8">
        <f t="shared" ref="N849:N851" si="331">AVERAGE(D849:H849)</f>
        <v>10.6458578245466</v>
      </c>
      <c r="O849" s="8">
        <f t="shared" ref="O849:O851" si="332">AVERAGE(I849:M849)</f>
        <v>0.264271249286937</v>
      </c>
      <c r="P849" s="8">
        <f t="shared" ref="P849:P851" si="333">LOG(N849+1,2)</f>
        <v>3.5417450061097</v>
      </c>
      <c r="Q849" s="8">
        <f t="shared" ref="Q849:Q851" si="334">LOG(O849+1,2)</f>
        <v>0.338306026820551</v>
      </c>
    </row>
    <row r="850" spans="1:17">
      <c r="A850" s="11"/>
      <c r="B850" s="8" t="s">
        <v>247</v>
      </c>
      <c r="C850" s="8" t="s">
        <v>36</v>
      </c>
      <c r="D850" s="8">
        <f t="shared" ref="D850:M850" si="335">D840</f>
        <v>0</v>
      </c>
      <c r="E850" s="8">
        <f t="shared" si="335"/>
        <v>0</v>
      </c>
      <c r="F850" s="8">
        <f t="shared" si="335"/>
        <v>6.05790142000995</v>
      </c>
      <c r="G850" s="8">
        <f t="shared" si="335"/>
        <v>0</v>
      </c>
      <c r="H850" s="8">
        <f t="shared" si="335"/>
        <v>0</v>
      </c>
      <c r="I850" s="8">
        <f t="shared" si="335"/>
        <v>0</v>
      </c>
      <c r="J850" s="8">
        <f t="shared" si="335"/>
        <v>55.1599903248622</v>
      </c>
      <c r="K850" s="8">
        <f t="shared" si="335"/>
        <v>0</v>
      </c>
      <c r="L850" s="8">
        <f t="shared" si="335"/>
        <v>0</v>
      </c>
      <c r="M850" s="8">
        <f t="shared" si="335"/>
        <v>3.67059744339161</v>
      </c>
      <c r="N850" s="8">
        <f t="shared" si="331"/>
        <v>1.21158028400199</v>
      </c>
      <c r="O850" s="8">
        <f t="shared" si="332"/>
        <v>11.7661175536508</v>
      </c>
      <c r="P850" s="8">
        <f t="shared" si="333"/>
        <v>1.14507761539016</v>
      </c>
      <c r="Q850" s="8">
        <f t="shared" si="334"/>
        <v>3.67424793255699</v>
      </c>
    </row>
    <row r="851" spans="1:17">
      <c r="A851" s="11"/>
      <c r="B851" s="8" t="s">
        <v>247</v>
      </c>
      <c r="C851" s="8" t="s">
        <v>35</v>
      </c>
      <c r="D851" s="8">
        <f t="shared" ref="D851:M851" si="336">SUM(D841:D847)</f>
        <v>0</v>
      </c>
      <c r="E851" s="8">
        <f t="shared" si="336"/>
        <v>22.9796666785146</v>
      </c>
      <c r="F851" s="8">
        <f t="shared" si="336"/>
        <v>0</v>
      </c>
      <c r="G851" s="8">
        <f t="shared" si="336"/>
        <v>37.4143321081303</v>
      </c>
      <c r="H851" s="8">
        <f t="shared" si="336"/>
        <v>0</v>
      </c>
      <c r="I851" s="8">
        <f t="shared" si="336"/>
        <v>0</v>
      </c>
      <c r="J851" s="8">
        <f t="shared" si="336"/>
        <v>21.0778607388355</v>
      </c>
      <c r="K851" s="8">
        <f t="shared" si="336"/>
        <v>102.837800650702</v>
      </c>
      <c r="L851" s="8">
        <f t="shared" si="336"/>
        <v>22.3544805228307</v>
      </c>
      <c r="M851" s="8">
        <f t="shared" si="336"/>
        <v>59.3272046066656</v>
      </c>
      <c r="N851" s="8">
        <f t="shared" si="331"/>
        <v>12.078799757329</v>
      </c>
      <c r="O851" s="8">
        <f t="shared" si="332"/>
        <v>41.1194693038068</v>
      </c>
      <c r="P851" s="8">
        <f t="shared" si="333"/>
        <v>3.70915824553982</v>
      </c>
      <c r="Q851" s="8">
        <f t="shared" si="334"/>
        <v>5.39641535372038</v>
      </c>
    </row>
    <row r="852" spans="1:1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8"/>
      <c r="O852" s="8"/>
      <c r="P852" s="11"/>
      <c r="Q852" s="11"/>
    </row>
    <row r="853" spans="1:17">
      <c r="A853" s="11"/>
      <c r="B853" s="8" t="s">
        <v>247</v>
      </c>
      <c r="C853" s="8" t="s">
        <v>37</v>
      </c>
      <c r="D853" s="8">
        <f t="shared" ref="D853:M853" si="337">LOG(D849+1,2)</f>
        <v>3.60625961870229</v>
      </c>
      <c r="E853" s="8">
        <f t="shared" si="337"/>
        <v>2.37207251580719</v>
      </c>
      <c r="F853" s="8">
        <f t="shared" si="337"/>
        <v>4.15521561469697</v>
      </c>
      <c r="G853" s="8">
        <f t="shared" si="337"/>
        <v>4.46313716163479</v>
      </c>
      <c r="H853" s="8">
        <f t="shared" si="337"/>
        <v>0</v>
      </c>
      <c r="I853" s="8">
        <f t="shared" si="337"/>
        <v>1.21496794255557</v>
      </c>
      <c r="J853" s="8">
        <f t="shared" si="337"/>
        <v>0</v>
      </c>
      <c r="K853" s="8">
        <f t="shared" si="337"/>
        <v>0</v>
      </c>
      <c r="L853" s="8">
        <f t="shared" si="337"/>
        <v>0</v>
      </c>
      <c r="M853" s="15">
        <f t="shared" si="337"/>
        <v>0</v>
      </c>
      <c r="N853" s="8"/>
      <c r="O853" s="8"/>
      <c r="P853" s="11"/>
      <c r="Q853" s="11"/>
    </row>
    <row r="854" spans="1:17">
      <c r="A854" s="11"/>
      <c r="B854" s="8" t="s">
        <v>247</v>
      </c>
      <c r="C854" s="8" t="s">
        <v>36</v>
      </c>
      <c r="D854" s="8">
        <f t="shared" ref="D854:M854" si="338">LOG(D850+1,2)</f>
        <v>0</v>
      </c>
      <c r="E854" s="8">
        <f t="shared" si="338"/>
        <v>0</v>
      </c>
      <c r="F854" s="8">
        <f t="shared" si="338"/>
        <v>2.81923927967048</v>
      </c>
      <c r="G854" s="8">
        <f t="shared" si="338"/>
        <v>0</v>
      </c>
      <c r="H854" s="8">
        <f t="shared" si="338"/>
        <v>0</v>
      </c>
      <c r="I854" s="8">
        <f t="shared" si="338"/>
        <v>0</v>
      </c>
      <c r="J854" s="8">
        <f t="shared" si="338"/>
        <v>5.81147078198506</v>
      </c>
      <c r="K854" s="8">
        <f t="shared" si="338"/>
        <v>0</v>
      </c>
      <c r="L854" s="8">
        <f t="shared" si="338"/>
        <v>0</v>
      </c>
      <c r="M854" s="15">
        <f t="shared" si="338"/>
        <v>2.22360710528585</v>
      </c>
      <c r="N854" s="8"/>
      <c r="O854" s="8"/>
      <c r="P854" s="11"/>
      <c r="Q854" s="11"/>
    </row>
    <row r="855" spans="1:17">
      <c r="A855" s="11"/>
      <c r="B855" s="8" t="s">
        <v>247</v>
      </c>
      <c r="C855" s="8" t="s">
        <v>35</v>
      </c>
      <c r="D855" s="8">
        <f t="shared" ref="D855:M855" si="339">LOG(D851+1,2)</f>
        <v>0</v>
      </c>
      <c r="E855" s="8">
        <f t="shared" si="339"/>
        <v>4.58373970007002</v>
      </c>
      <c r="F855" s="8">
        <f t="shared" si="339"/>
        <v>0</v>
      </c>
      <c r="G855" s="8">
        <f t="shared" si="339"/>
        <v>5.2635727653039</v>
      </c>
      <c r="H855" s="8">
        <f t="shared" si="339"/>
        <v>0</v>
      </c>
      <c r="I855" s="8">
        <f t="shared" si="339"/>
        <v>0</v>
      </c>
      <c r="J855" s="8">
        <f t="shared" si="339"/>
        <v>4.46452848208525</v>
      </c>
      <c r="K855" s="8">
        <f t="shared" si="339"/>
        <v>6.69818792136841</v>
      </c>
      <c r="L855" s="8">
        <f t="shared" si="339"/>
        <v>4.54562745030288</v>
      </c>
      <c r="M855" s="15">
        <f t="shared" si="339"/>
        <v>5.91473682836174</v>
      </c>
      <c r="N855" s="8"/>
      <c r="O855" s="8"/>
      <c r="P855" s="11"/>
      <c r="Q855" s="11"/>
    </row>
  </sheetData>
  <mergeCells count="75">
    <mergeCell ref="A1:M1"/>
    <mergeCell ref="D2:H2"/>
    <mergeCell ref="I2:M2"/>
    <mergeCell ref="D18:H18"/>
    <mergeCell ref="I18:M18"/>
    <mergeCell ref="D43:H43"/>
    <mergeCell ref="I43:M43"/>
    <mergeCell ref="D68:H68"/>
    <mergeCell ref="I68:M68"/>
    <mergeCell ref="D93:H93"/>
    <mergeCell ref="I93:M93"/>
    <mergeCell ref="D118:H118"/>
    <mergeCell ref="I118:M118"/>
    <mergeCell ref="D143:H143"/>
    <mergeCell ref="I143:M143"/>
    <mergeCell ref="D168:H168"/>
    <mergeCell ref="I168:M168"/>
    <mergeCell ref="D193:H193"/>
    <mergeCell ref="I193:M193"/>
    <mergeCell ref="D218:H218"/>
    <mergeCell ref="I218:M218"/>
    <mergeCell ref="D243:H243"/>
    <mergeCell ref="I243:M243"/>
    <mergeCell ref="D268:H268"/>
    <mergeCell ref="I268:M268"/>
    <mergeCell ref="D293:H293"/>
    <mergeCell ref="I293:M293"/>
    <mergeCell ref="A303:M303"/>
    <mergeCell ref="D319:H319"/>
    <mergeCell ref="I319:M319"/>
    <mergeCell ref="D344:H344"/>
    <mergeCell ref="I344:M344"/>
    <mergeCell ref="D369:H369"/>
    <mergeCell ref="I369:M369"/>
    <mergeCell ref="D394:H394"/>
    <mergeCell ref="I394:M394"/>
    <mergeCell ref="D419:H419"/>
    <mergeCell ref="I419:M419"/>
    <mergeCell ref="D444:H444"/>
    <mergeCell ref="I444:M444"/>
    <mergeCell ref="A455:M455"/>
    <mergeCell ref="D471:H471"/>
    <mergeCell ref="I471:M471"/>
    <mergeCell ref="D496:H496"/>
    <mergeCell ref="I496:M496"/>
    <mergeCell ref="D521:H521"/>
    <mergeCell ref="I521:M521"/>
    <mergeCell ref="D546:H546"/>
    <mergeCell ref="I546:M546"/>
    <mergeCell ref="D571:H571"/>
    <mergeCell ref="I571:M571"/>
    <mergeCell ref="D596:H596"/>
    <mergeCell ref="I596:M596"/>
    <mergeCell ref="A606:M606"/>
    <mergeCell ref="D622:H622"/>
    <mergeCell ref="I622:M622"/>
    <mergeCell ref="D647:H647"/>
    <mergeCell ref="I647:M647"/>
    <mergeCell ref="D672:H672"/>
    <mergeCell ref="I672:M672"/>
    <mergeCell ref="D697:H697"/>
    <mergeCell ref="I697:M697"/>
    <mergeCell ref="D722:H722"/>
    <mergeCell ref="I722:M722"/>
    <mergeCell ref="D747:H747"/>
    <mergeCell ref="I747:M747"/>
    <mergeCell ref="A757:M757"/>
    <mergeCell ref="D773:H773"/>
    <mergeCell ref="I773:M773"/>
    <mergeCell ref="D798:H798"/>
    <mergeCell ref="I798:M798"/>
    <mergeCell ref="D823:H823"/>
    <mergeCell ref="I823:M823"/>
    <mergeCell ref="D848:H848"/>
    <mergeCell ref="I848:M848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9"/>
  <sheetViews>
    <sheetView workbookViewId="0">
      <selection activeCell="N3" sqref="N3"/>
    </sheetView>
  </sheetViews>
  <sheetFormatPr defaultColWidth="8.75454545454545" defaultRowHeight="14"/>
  <cols>
    <col min="1" max="2" width="8.75454545454545" style="1"/>
    <col min="3" max="3" width="15.7545454545455" style="1" customWidth="1"/>
    <col min="4" max="13" width="12.8727272727273" style="1"/>
    <col min="14" max="20" width="8.75454545454545" style="1"/>
  </cols>
  <sheetData>
    <row r="1" spans="1:13">
      <c r="D1" s="2" t="s">
        <v>185</v>
      </c>
      <c r="E1" s="3"/>
      <c r="F1" s="3"/>
      <c r="G1" s="3"/>
      <c r="H1" s="4"/>
      <c r="I1" s="5" t="s">
        <v>186</v>
      </c>
      <c r="J1" s="6"/>
      <c r="K1" s="6"/>
      <c r="L1" s="6"/>
      <c r="M1" s="7"/>
    </row>
    <row r="2" spans="1:13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</row>
    <row r="3" spans="1:13">
      <c r="A3" s="8" t="s">
        <v>255</v>
      </c>
      <c r="B3" s="8" t="s">
        <v>188</v>
      </c>
      <c r="C3" s="8" t="s">
        <v>189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>
      <c r="A4" s="8" t="s">
        <v>255</v>
      </c>
      <c r="B4" s="8" t="s">
        <v>190</v>
      </c>
      <c r="C4" s="8" t="s">
        <v>191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>
      <c r="A5" s="8" t="s">
        <v>255</v>
      </c>
      <c r="B5" s="8" t="s">
        <v>192</v>
      </c>
      <c r="C5" s="8" t="s">
        <v>193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>
      <c r="A6" s="8" t="s">
        <v>255</v>
      </c>
      <c r="B6" s="8" t="s">
        <v>192</v>
      </c>
      <c r="C6" s="8" t="s">
        <v>194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>
      <c r="A7" s="8" t="s">
        <v>255</v>
      </c>
      <c r="B7" s="8" t="s">
        <v>195</v>
      </c>
      <c r="C7" s="8" t="s">
        <v>196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>
      <c r="A8" s="8" t="s">
        <v>255</v>
      </c>
      <c r="B8" s="8" t="s">
        <v>195</v>
      </c>
      <c r="C8" s="8" t="s">
        <v>197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>
      <c r="A9" s="8" t="s">
        <v>255</v>
      </c>
      <c r="B9" s="8" t="s">
        <v>198</v>
      </c>
      <c r="C9" s="8" t="s">
        <v>199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>
      <c r="A10" s="8" t="s">
        <v>255</v>
      </c>
      <c r="B10" s="8" t="s">
        <v>36</v>
      </c>
      <c r="C10" s="8" t="s">
        <v>130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>
      <c r="A11" s="8" t="s">
        <v>255</v>
      </c>
      <c r="B11" s="8" t="s">
        <v>200</v>
      </c>
      <c r="C11" s="8" t="s">
        <v>97</v>
      </c>
      <c r="D11" s="8">
        <v>0</v>
      </c>
      <c r="E11" s="8">
        <v>1.47266930274003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>
      <c r="A12" s="8" t="s">
        <v>255</v>
      </c>
      <c r="B12" s="8" t="s">
        <v>200</v>
      </c>
      <c r="C12" s="8" t="s">
        <v>98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>
      <c r="A13" s="8" t="s">
        <v>255</v>
      </c>
      <c r="B13" s="8" t="s">
        <v>200</v>
      </c>
      <c r="C13" s="8" t="s">
        <v>95</v>
      </c>
      <c r="D13" s="8">
        <v>0</v>
      </c>
      <c r="E13" s="8">
        <v>0</v>
      </c>
      <c r="F13" s="8">
        <v>0.558248737756686</v>
      </c>
      <c r="G13" s="8">
        <v>0</v>
      </c>
      <c r="H13" s="8">
        <v>0</v>
      </c>
      <c r="I13" s="8">
        <v>0</v>
      </c>
      <c r="J13" s="8">
        <v>0</v>
      </c>
      <c r="K13" s="8">
        <v>3.81827452354134</v>
      </c>
      <c r="L13" s="8">
        <v>0</v>
      </c>
      <c r="M13" s="8">
        <v>0</v>
      </c>
    </row>
    <row r="14" spans="1:13">
      <c r="A14" s="8" t="s">
        <v>255</v>
      </c>
      <c r="B14" s="8" t="s">
        <v>200</v>
      </c>
      <c r="C14" s="8" t="s">
        <v>93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>
      <c r="A15" s="8" t="s">
        <v>255</v>
      </c>
      <c r="B15" s="8" t="s">
        <v>200</v>
      </c>
      <c r="C15" s="8" t="s">
        <v>96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A16" s="8" t="s">
        <v>255</v>
      </c>
      <c r="B16" s="8" t="s">
        <v>200</v>
      </c>
      <c r="C16" s="8" t="s">
        <v>94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>
      <c r="A17" s="8" t="s">
        <v>255</v>
      </c>
      <c r="B17" s="8" t="s">
        <v>201</v>
      </c>
      <c r="C17" s="8" t="s">
        <v>202</v>
      </c>
      <c r="D17" s="8">
        <v>0</v>
      </c>
      <c r="E17" s="8">
        <v>0</v>
      </c>
      <c r="F17" s="8">
        <v>0</v>
      </c>
      <c r="G17" s="8">
        <v>4.76837247160368</v>
      </c>
      <c r="H17" s="8">
        <v>0</v>
      </c>
      <c r="I17" s="8">
        <v>13.7011500010734</v>
      </c>
      <c r="J17" s="8">
        <v>0</v>
      </c>
      <c r="K17" s="8">
        <v>0</v>
      </c>
      <c r="L17" s="8">
        <v>1.96936198974253</v>
      </c>
      <c r="M17" s="8">
        <v>1.93464016168251</v>
      </c>
    </row>
    <row r="18" spans="1:1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20" spans="1:13">
      <c r="A20" s="8" t="s">
        <v>256</v>
      </c>
      <c r="B20" s="8" t="s">
        <v>190</v>
      </c>
      <c r="C20" s="8" t="s">
        <v>191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>
      <c r="A21" s="8" t="s">
        <v>256</v>
      </c>
      <c r="B21" s="8" t="s">
        <v>192</v>
      </c>
      <c r="C21" s="8" t="s">
        <v>193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 t="s">
        <v>256</v>
      </c>
      <c r="B22" s="8" t="s">
        <v>192</v>
      </c>
      <c r="C22" s="8" t="s">
        <v>194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 t="s">
        <v>256</v>
      </c>
      <c r="B23" s="8" t="s">
        <v>195</v>
      </c>
      <c r="C23" s="8" t="s">
        <v>196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 t="s">
        <v>256</v>
      </c>
      <c r="B24" s="8" t="s">
        <v>195</v>
      </c>
      <c r="C24" s="8" t="s">
        <v>197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 t="s">
        <v>256</v>
      </c>
      <c r="B25" s="8" t="s">
        <v>198</v>
      </c>
      <c r="C25" s="8" t="s">
        <v>199</v>
      </c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 t="s">
        <v>256</v>
      </c>
      <c r="B26" s="8" t="s">
        <v>36</v>
      </c>
      <c r="C26" s="8" t="s">
        <v>130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 t="s">
        <v>256</v>
      </c>
      <c r="B27" s="8" t="s">
        <v>200</v>
      </c>
      <c r="C27" s="8" t="s">
        <v>97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>
      <c r="A28" s="8" t="s">
        <v>256</v>
      </c>
      <c r="B28" s="8" t="s">
        <v>200</v>
      </c>
      <c r="C28" s="8" t="s">
        <v>98</v>
      </c>
      <c r="D28" s="8">
        <v>0</v>
      </c>
      <c r="E28" s="8">
        <v>0.418231252161127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3.71229339812018</v>
      </c>
      <c r="M28" s="8">
        <v>0</v>
      </c>
    </row>
    <row r="29" spans="1:13">
      <c r="A29" s="8" t="s">
        <v>256</v>
      </c>
      <c r="B29" s="8" t="s">
        <v>200</v>
      </c>
      <c r="C29" s="8" t="s">
        <v>95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>
      <c r="A30" s="8" t="s">
        <v>256</v>
      </c>
      <c r="B30" s="8" t="s">
        <v>200</v>
      </c>
      <c r="C30" s="8" t="s">
        <v>93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1:13">
      <c r="A31" s="8" t="s">
        <v>256</v>
      </c>
      <c r="B31" s="8" t="s">
        <v>200</v>
      </c>
      <c r="C31" s="8" t="s">
        <v>96</v>
      </c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 t="s">
        <v>256</v>
      </c>
      <c r="B32" s="8" t="s">
        <v>200</v>
      </c>
      <c r="C32" s="8" t="s">
        <v>94</v>
      </c>
      <c r="D32" s="8">
        <v>0</v>
      </c>
      <c r="E32" s="8">
        <v>0</v>
      </c>
      <c r="F32" s="8">
        <v>0.328196864782231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3.58687742304748</v>
      </c>
      <c r="M32" s="8">
        <v>0</v>
      </c>
    </row>
    <row r="33" spans="1:13">
      <c r="A33" s="8" t="s">
        <v>256</v>
      </c>
      <c r="B33" s="8" t="s">
        <v>201</v>
      </c>
      <c r="C33" s="8" t="s">
        <v>202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2.54690560182252</v>
      </c>
      <c r="M33" s="8">
        <v>1.14869247597523</v>
      </c>
    </row>
    <row r="37" spans="1:13">
      <c r="A37" s="8" t="s">
        <v>257</v>
      </c>
      <c r="B37" s="8" t="s">
        <v>188</v>
      </c>
      <c r="C37" s="8" t="s">
        <v>189</v>
      </c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8" t="s">
        <v>257</v>
      </c>
      <c r="B38" s="8" t="s">
        <v>190</v>
      </c>
      <c r="C38" s="8" t="s">
        <v>191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 t="s">
        <v>257</v>
      </c>
      <c r="B39" s="8" t="s">
        <v>192</v>
      </c>
      <c r="C39" s="8" t="s">
        <v>193</v>
      </c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>
      <c r="A40" s="8" t="s">
        <v>257</v>
      </c>
      <c r="B40" s="8" t="s">
        <v>192</v>
      </c>
      <c r="C40" s="8" t="s">
        <v>194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>
      <c r="A41" s="8" t="s">
        <v>257</v>
      </c>
      <c r="B41" s="8" t="s">
        <v>195</v>
      </c>
      <c r="C41" s="8" t="s">
        <v>196</v>
      </c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>
      <c r="A42" s="8" t="s">
        <v>257</v>
      </c>
      <c r="B42" s="8" t="s">
        <v>195</v>
      </c>
      <c r="C42" s="8" t="s">
        <v>197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8" t="s">
        <v>257</v>
      </c>
      <c r="B43" s="8" t="s">
        <v>198</v>
      </c>
      <c r="C43" s="8" t="s">
        <v>199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>
      <c r="A44" s="8" t="s">
        <v>257</v>
      </c>
      <c r="B44" s="8" t="s">
        <v>36</v>
      </c>
      <c r="C44" s="8" t="s">
        <v>130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>
      <c r="A45" s="8" t="s">
        <v>257</v>
      </c>
      <c r="B45" s="8" t="s">
        <v>200</v>
      </c>
      <c r="C45" s="8" t="s">
        <v>97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</row>
    <row r="46" spans="1:13">
      <c r="A46" s="8" t="s">
        <v>257</v>
      </c>
      <c r="B46" s="8" t="s">
        <v>200</v>
      </c>
      <c r="C46" s="8" t="s">
        <v>98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</row>
    <row r="47" spans="1:13">
      <c r="A47" s="8" t="s">
        <v>257</v>
      </c>
      <c r="B47" s="8" t="s">
        <v>200</v>
      </c>
      <c r="C47" s="8" t="s">
        <v>95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</row>
    <row r="48" spans="1:13">
      <c r="A48" s="8" t="s">
        <v>257</v>
      </c>
      <c r="B48" s="8" t="s">
        <v>200</v>
      </c>
      <c r="C48" s="8" t="s">
        <v>93</v>
      </c>
      <c r="D48" s="8">
        <v>0</v>
      </c>
      <c r="E48" s="8">
        <v>0</v>
      </c>
      <c r="F48" s="8">
        <v>0</v>
      </c>
      <c r="G48" s="8">
        <v>0</v>
      </c>
      <c r="H48" s="8">
        <v>3.12351955255531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</row>
    <row r="49" spans="1:13">
      <c r="A49" s="8" t="s">
        <v>257</v>
      </c>
      <c r="B49" s="8" t="s">
        <v>200</v>
      </c>
      <c r="C49" s="8" t="s">
        <v>96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</row>
    <row r="50" spans="1:13">
      <c r="A50" s="8" t="s">
        <v>257</v>
      </c>
      <c r="B50" s="8" t="s">
        <v>200</v>
      </c>
      <c r="C50" s="8" t="s">
        <v>94</v>
      </c>
      <c r="D50" s="8">
        <v>0</v>
      </c>
      <c r="E50" s="8">
        <v>0</v>
      </c>
      <c r="F50" s="8">
        <v>0.414542124148985</v>
      </c>
      <c r="G50" s="8">
        <v>0</v>
      </c>
      <c r="H50" s="8">
        <v>0</v>
      </c>
      <c r="I50" s="8">
        <v>1.41410064069813</v>
      </c>
      <c r="J50" s="8">
        <v>0</v>
      </c>
      <c r="K50" s="8">
        <v>0</v>
      </c>
      <c r="L50" s="8">
        <v>5.38618607781365</v>
      </c>
      <c r="M50" s="8">
        <v>0</v>
      </c>
    </row>
    <row r="51" spans="1:13">
      <c r="A51" s="8" t="s">
        <v>257</v>
      </c>
      <c r="B51" s="8" t="s">
        <v>201</v>
      </c>
      <c r="C51" s="8" t="s">
        <v>202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2.00765879483817</v>
      </c>
      <c r="M51" s="8">
        <v>28.6288954759262</v>
      </c>
    </row>
    <row r="52" spans="1:1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>
      <c r="A54" s="8" t="s">
        <v>258</v>
      </c>
      <c r="B54" s="8" t="s">
        <v>188</v>
      </c>
      <c r="C54" s="8" t="s">
        <v>189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>
      <c r="A55" s="8" t="s">
        <v>258</v>
      </c>
      <c r="B55" s="8" t="s">
        <v>190</v>
      </c>
      <c r="C55" s="8" t="s">
        <v>191</v>
      </c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>
      <c r="A56" s="8" t="s">
        <v>258</v>
      </c>
      <c r="B56" s="8" t="s">
        <v>192</v>
      </c>
      <c r="C56" s="8" t="s">
        <v>193</v>
      </c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>
      <c r="A57" s="8" t="s">
        <v>258</v>
      </c>
      <c r="B57" s="8" t="s">
        <v>192</v>
      </c>
      <c r="C57" s="8" t="s">
        <v>194</v>
      </c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>
      <c r="A58" s="8" t="s">
        <v>258</v>
      </c>
      <c r="B58" s="8" t="s">
        <v>195</v>
      </c>
      <c r="C58" s="8" t="s">
        <v>196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>
      <c r="A59" s="8" t="s">
        <v>258</v>
      </c>
      <c r="B59" s="8" t="s">
        <v>195</v>
      </c>
      <c r="C59" s="8" t="s">
        <v>197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>
      <c r="A60" s="8" t="s">
        <v>258</v>
      </c>
      <c r="B60" s="8" t="s">
        <v>198</v>
      </c>
      <c r="C60" s="8" t="s">
        <v>199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>
      <c r="A61" s="8" t="s">
        <v>258</v>
      </c>
      <c r="B61" s="8" t="s">
        <v>36</v>
      </c>
      <c r="C61" s="8" t="s">
        <v>130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</row>
    <row r="62" spans="1:13">
      <c r="A62" s="8" t="s">
        <v>258</v>
      </c>
      <c r="B62" s="8" t="s">
        <v>200</v>
      </c>
      <c r="C62" s="8" t="s">
        <v>97</v>
      </c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>
      <c r="A63" s="8" t="s">
        <v>258</v>
      </c>
      <c r="B63" s="8" t="s">
        <v>200</v>
      </c>
      <c r="C63" s="8" t="s">
        <v>98</v>
      </c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>
      <c r="A64" s="8" t="s">
        <v>258</v>
      </c>
      <c r="B64" s="8" t="s">
        <v>200</v>
      </c>
      <c r="C64" s="8" t="s">
        <v>95</v>
      </c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>
      <c r="A65" s="8" t="s">
        <v>258</v>
      </c>
      <c r="B65" s="8" t="s">
        <v>200</v>
      </c>
      <c r="C65" s="8" t="s">
        <v>93</v>
      </c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>
      <c r="A66" s="8" t="s">
        <v>258</v>
      </c>
      <c r="B66" s="8" t="s">
        <v>200</v>
      </c>
      <c r="C66" s="8" t="s">
        <v>96</v>
      </c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>
      <c r="A67" s="8" t="s">
        <v>258</v>
      </c>
      <c r="B67" s="8" t="s">
        <v>200</v>
      </c>
      <c r="C67" s="8" t="s">
        <v>94</v>
      </c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>
      <c r="A68" s="8" t="s">
        <v>258</v>
      </c>
      <c r="B68" s="8" t="s">
        <v>201</v>
      </c>
      <c r="C68" s="8" t="s">
        <v>202</v>
      </c>
      <c r="D68" s="8"/>
      <c r="E68" s="8"/>
      <c r="F68" s="8"/>
      <c r="G68" s="8"/>
      <c r="H68" s="8"/>
      <c r="I68" s="8"/>
      <c r="J68" s="8"/>
      <c r="K68" s="8"/>
      <c r="L68" s="8"/>
      <c r="M68" s="8"/>
    </row>
    <row r="71" spans="1:13">
      <c r="A71" s="8" t="s">
        <v>259</v>
      </c>
      <c r="B71" s="8" t="s">
        <v>188</v>
      </c>
      <c r="C71" s="8" t="s">
        <v>189</v>
      </c>
      <c r="D71" s="8">
        <v>1.213346875511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1.62509085635534</v>
      </c>
      <c r="K71" s="8">
        <v>0</v>
      </c>
      <c r="L71" s="8">
        <v>0</v>
      </c>
      <c r="M71" s="8">
        <v>0</v>
      </c>
    </row>
    <row r="72" spans="1:13">
      <c r="A72" s="8" t="s">
        <v>259</v>
      </c>
      <c r="B72" s="8" t="s">
        <v>190</v>
      </c>
      <c r="C72" s="8" t="s">
        <v>191</v>
      </c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>
      <c r="A73" s="8" t="s">
        <v>259</v>
      </c>
      <c r="B73" s="8" t="s">
        <v>192</v>
      </c>
      <c r="C73" s="8" t="s">
        <v>193</v>
      </c>
      <c r="D73" s="8">
        <v>0</v>
      </c>
      <c r="E73" s="8">
        <v>0</v>
      </c>
      <c r="F73" s="8">
        <v>4.4710850204342</v>
      </c>
      <c r="G73" s="8">
        <v>3.24428228453488</v>
      </c>
      <c r="H73" s="8">
        <v>0</v>
      </c>
      <c r="I73" s="8">
        <v>0</v>
      </c>
      <c r="J73" s="8">
        <v>0.803594985949773</v>
      </c>
      <c r="K73" s="8">
        <v>0</v>
      </c>
      <c r="L73" s="8">
        <v>0</v>
      </c>
      <c r="M73" s="8">
        <v>0</v>
      </c>
    </row>
    <row r="74" spans="1:13">
      <c r="A74" s="8" t="s">
        <v>259</v>
      </c>
      <c r="B74" s="8" t="s">
        <v>192</v>
      </c>
      <c r="C74" s="8" t="s">
        <v>194</v>
      </c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>
      <c r="A75" s="8" t="s">
        <v>259</v>
      </c>
      <c r="B75" s="8" t="s">
        <v>195</v>
      </c>
      <c r="C75" s="8" t="s">
        <v>196</v>
      </c>
      <c r="D75" s="8">
        <v>0</v>
      </c>
      <c r="E75" s="8">
        <v>0</v>
      </c>
      <c r="F75" s="8">
        <v>0</v>
      </c>
      <c r="G75" s="8">
        <v>2.83385828157168</v>
      </c>
      <c r="H75" s="8">
        <v>0</v>
      </c>
      <c r="I75" s="8">
        <v>0</v>
      </c>
      <c r="J75" s="8">
        <v>0</v>
      </c>
      <c r="K75" s="8">
        <v>0</v>
      </c>
      <c r="L75" s="8">
        <v>1.98518845382111</v>
      </c>
      <c r="M75" s="8">
        <v>0</v>
      </c>
    </row>
    <row r="76" spans="1:13">
      <c r="A76" s="8" t="s">
        <v>259</v>
      </c>
      <c r="B76" s="8" t="s">
        <v>195</v>
      </c>
      <c r="C76" s="8" t="s">
        <v>197</v>
      </c>
      <c r="D76" s="8">
        <v>0</v>
      </c>
      <c r="E76" s="8">
        <v>0</v>
      </c>
      <c r="F76" s="8">
        <v>0</v>
      </c>
      <c r="G76" s="8">
        <v>2.85668528426127</v>
      </c>
      <c r="H76" s="8">
        <v>0</v>
      </c>
      <c r="I76" s="8">
        <v>0</v>
      </c>
      <c r="J76" s="8">
        <v>0</v>
      </c>
      <c r="K76" s="8">
        <v>0</v>
      </c>
      <c r="L76" s="8">
        <v>0.706135483755865</v>
      </c>
      <c r="M76" s="8">
        <v>0</v>
      </c>
    </row>
    <row r="77" spans="1:13">
      <c r="A77" s="8" t="s">
        <v>259</v>
      </c>
      <c r="B77" s="8" t="s">
        <v>198</v>
      </c>
      <c r="C77" s="8" t="s">
        <v>199</v>
      </c>
      <c r="D77" s="8">
        <v>0</v>
      </c>
      <c r="E77" s="8">
        <v>2.3194896735143</v>
      </c>
      <c r="F77" s="8">
        <v>1.96629144698077</v>
      </c>
      <c r="G77" s="8">
        <v>3.04408747989383</v>
      </c>
      <c r="H77" s="8">
        <v>0</v>
      </c>
      <c r="I77" s="8">
        <v>0</v>
      </c>
      <c r="J77" s="8">
        <v>0</v>
      </c>
      <c r="K77" s="8">
        <v>0</v>
      </c>
      <c r="L77" s="8">
        <v>0.47405464994476</v>
      </c>
      <c r="M77" s="8">
        <v>0</v>
      </c>
    </row>
    <row r="78" spans="1:13">
      <c r="A78" s="8" t="s">
        <v>259</v>
      </c>
      <c r="B78" s="8" t="s">
        <v>36</v>
      </c>
      <c r="C78" s="8" t="s">
        <v>130</v>
      </c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>
      <c r="A79" s="8" t="s">
        <v>259</v>
      </c>
      <c r="B79" s="8" t="s">
        <v>200</v>
      </c>
      <c r="C79" s="8" t="s">
        <v>97</v>
      </c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>
      <c r="A80" s="8" t="s">
        <v>259</v>
      </c>
      <c r="B80" s="8" t="s">
        <v>200</v>
      </c>
      <c r="C80" s="8" t="s">
        <v>98</v>
      </c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>
      <c r="A81" s="8" t="s">
        <v>259</v>
      </c>
      <c r="B81" s="8" t="s">
        <v>200</v>
      </c>
      <c r="C81" s="8" t="s">
        <v>95</v>
      </c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>
      <c r="A82" s="8" t="s">
        <v>259</v>
      </c>
      <c r="B82" s="8" t="s">
        <v>200</v>
      </c>
      <c r="C82" s="8" t="s">
        <v>93</v>
      </c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>
      <c r="A83" s="8" t="s">
        <v>259</v>
      </c>
      <c r="B83" s="8" t="s">
        <v>200</v>
      </c>
      <c r="C83" s="8" t="s">
        <v>96</v>
      </c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>
      <c r="A84" s="8" t="s">
        <v>259</v>
      </c>
      <c r="B84" s="8" t="s">
        <v>200</v>
      </c>
      <c r="C84" s="8" t="s">
        <v>94</v>
      </c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>
      <c r="A85" s="8" t="s">
        <v>259</v>
      </c>
      <c r="B85" s="8" t="s">
        <v>201</v>
      </c>
      <c r="C85" s="8" t="s">
        <v>202</v>
      </c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>
      <c r="A88" s="8" t="s">
        <v>260</v>
      </c>
      <c r="B88" s="8" t="s">
        <v>188</v>
      </c>
      <c r="C88" s="8" t="s">
        <v>189</v>
      </c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>
      <c r="A89" s="8" t="s">
        <v>260</v>
      </c>
      <c r="B89" s="8" t="s">
        <v>190</v>
      </c>
      <c r="C89" s="8" t="s">
        <v>191</v>
      </c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>
      <c r="A90" s="8" t="s">
        <v>260</v>
      </c>
      <c r="B90" s="8" t="s">
        <v>192</v>
      </c>
      <c r="C90" s="8" t="s">
        <v>193</v>
      </c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>
      <c r="A91" s="8" t="s">
        <v>260</v>
      </c>
      <c r="B91" s="8" t="s">
        <v>192</v>
      </c>
      <c r="C91" s="8" t="s">
        <v>194</v>
      </c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>
      <c r="A92" s="8" t="s">
        <v>260</v>
      </c>
      <c r="B92" s="8" t="s">
        <v>195</v>
      </c>
      <c r="C92" s="8" t="s">
        <v>196</v>
      </c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>
      <c r="A93" s="8" t="s">
        <v>260</v>
      </c>
      <c r="B93" s="8" t="s">
        <v>195</v>
      </c>
      <c r="C93" s="8" t="s">
        <v>197</v>
      </c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>
      <c r="A94" s="8" t="s">
        <v>260</v>
      </c>
      <c r="B94" s="8" t="s">
        <v>198</v>
      </c>
      <c r="C94" s="8" t="s">
        <v>199</v>
      </c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>
      <c r="A95" s="8" t="s">
        <v>260</v>
      </c>
      <c r="B95" s="8" t="s">
        <v>36</v>
      </c>
      <c r="C95" s="8" t="s">
        <v>130</v>
      </c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>
      <c r="A96" s="8" t="s">
        <v>260</v>
      </c>
      <c r="B96" s="8" t="s">
        <v>200</v>
      </c>
      <c r="C96" s="8" t="s">
        <v>97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</row>
    <row r="97" spans="1:13">
      <c r="A97" s="8" t="s">
        <v>260</v>
      </c>
      <c r="B97" s="8" t="s">
        <v>200</v>
      </c>
      <c r="C97" s="8" t="s">
        <v>98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</row>
    <row r="98" spans="1:13">
      <c r="A98" s="8" t="s">
        <v>260</v>
      </c>
      <c r="B98" s="8" t="s">
        <v>200</v>
      </c>
      <c r="C98" s="8" t="s">
        <v>95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</row>
    <row r="99" spans="1:13">
      <c r="A99" s="8" t="s">
        <v>260</v>
      </c>
      <c r="B99" s="8" t="s">
        <v>200</v>
      </c>
      <c r="C99" s="8" t="s">
        <v>93</v>
      </c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>
      <c r="A100" s="8" t="s">
        <v>260</v>
      </c>
      <c r="B100" s="8" t="s">
        <v>200</v>
      </c>
      <c r="C100" s="8" t="s">
        <v>96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3">
      <c r="A101" s="8" t="s">
        <v>260</v>
      </c>
      <c r="B101" s="8" t="s">
        <v>200</v>
      </c>
      <c r="C101" s="8" t="s">
        <v>94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3">
      <c r="A102" s="8" t="s">
        <v>260</v>
      </c>
      <c r="B102" s="8" t="s">
        <v>201</v>
      </c>
      <c r="C102" s="8" t="s">
        <v>202</v>
      </c>
      <c r="D102" s="8">
        <v>0</v>
      </c>
      <c r="E102" s="8">
        <v>0</v>
      </c>
      <c r="F102" s="8">
        <v>0</v>
      </c>
      <c r="G102" s="8">
        <v>1.66270542790762</v>
      </c>
      <c r="H102" s="8">
        <v>0</v>
      </c>
      <c r="I102" s="8">
        <v>0</v>
      </c>
      <c r="J102" s="8">
        <v>0</v>
      </c>
      <c r="K102" s="8">
        <v>2.36225468164794</v>
      </c>
      <c r="L102" s="8">
        <v>4.70309795452758</v>
      </c>
      <c r="M102" s="8">
        <v>2.77561100447857</v>
      </c>
    </row>
    <row r="105" spans="1:13">
      <c r="A105" s="8" t="s">
        <v>261</v>
      </c>
      <c r="B105" s="8" t="s">
        <v>188</v>
      </c>
      <c r="C105" s="8" t="s">
        <v>189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3">
      <c r="A106" s="8" t="s">
        <v>261</v>
      </c>
      <c r="B106" s="8" t="s">
        <v>190</v>
      </c>
      <c r="C106" s="8" t="s">
        <v>191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3">
      <c r="A107" s="8" t="s">
        <v>261</v>
      </c>
      <c r="B107" s="8" t="s">
        <v>192</v>
      </c>
      <c r="C107" s="8" t="s">
        <v>193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>
      <c r="A108" s="8" t="s">
        <v>261</v>
      </c>
      <c r="B108" s="8" t="s">
        <v>192</v>
      </c>
      <c r="C108" s="8" t="s">
        <v>194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>
      <c r="A109" s="8" t="s">
        <v>261</v>
      </c>
      <c r="B109" s="8" t="s">
        <v>195</v>
      </c>
      <c r="C109" s="8" t="s">
        <v>196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>
      <c r="A110" s="8" t="s">
        <v>261</v>
      </c>
      <c r="B110" s="8" t="s">
        <v>195</v>
      </c>
      <c r="C110" s="8" t="s">
        <v>197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>
      <c r="A111" s="8" t="s">
        <v>261</v>
      </c>
      <c r="B111" s="8" t="s">
        <v>198</v>
      </c>
      <c r="C111" s="8" t="s">
        <v>199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>
      <c r="A112" s="8" t="s">
        <v>261</v>
      </c>
      <c r="B112" s="8" t="s">
        <v>36</v>
      </c>
      <c r="C112" s="8" t="s">
        <v>130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</row>
    <row r="113" spans="1:13">
      <c r="A113" s="8" t="s">
        <v>261</v>
      </c>
      <c r="B113" s="8" t="s">
        <v>200</v>
      </c>
      <c r="C113" s="8" t="s">
        <v>97</v>
      </c>
      <c r="D113" s="8">
        <v>0</v>
      </c>
      <c r="E113" s="8">
        <v>0</v>
      </c>
      <c r="F113" s="8">
        <v>1.8128429377934</v>
      </c>
      <c r="G113" s="8">
        <v>0</v>
      </c>
      <c r="H113" s="8">
        <v>0</v>
      </c>
      <c r="I113" s="8">
        <v>0</v>
      </c>
      <c r="J113" s="8">
        <v>0</v>
      </c>
      <c r="K113" s="8">
        <v>0.927419115590327</v>
      </c>
      <c r="L113" s="8">
        <v>5.07854141219997</v>
      </c>
      <c r="M113" s="8">
        <v>2.99511671753419</v>
      </c>
    </row>
    <row r="114" spans="1:13">
      <c r="A114" s="8" t="s">
        <v>261</v>
      </c>
      <c r="B114" s="8" t="s">
        <v>200</v>
      </c>
      <c r="C114" s="8" t="s">
        <v>98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7.33566571887749</v>
      </c>
      <c r="M114" s="8">
        <v>0</v>
      </c>
    </row>
    <row r="115" spans="1:13">
      <c r="A115" s="8" t="s">
        <v>261</v>
      </c>
      <c r="B115" s="8" t="s">
        <v>200</v>
      </c>
      <c r="C115" s="8" t="s">
        <v>95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1.30691256414165</v>
      </c>
      <c r="L115" s="8">
        <v>0</v>
      </c>
      <c r="M115" s="8">
        <v>0</v>
      </c>
    </row>
    <row r="116" spans="1:13">
      <c r="A116" s="8" t="s">
        <v>261</v>
      </c>
      <c r="B116" s="8" t="s">
        <v>200</v>
      </c>
      <c r="C116" s="8" t="s">
        <v>93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3">
      <c r="A117" s="8" t="s">
        <v>261</v>
      </c>
      <c r="B117" s="8" t="s">
        <v>200</v>
      </c>
      <c r="C117" s="8" t="s">
        <v>96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>
      <c r="A118" s="8" t="s">
        <v>261</v>
      </c>
      <c r="B118" s="8" t="s">
        <v>200</v>
      </c>
      <c r="C118" s="8" t="s">
        <v>94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>
      <c r="A119" s="8" t="s">
        <v>261</v>
      </c>
      <c r="B119" s="8" t="s">
        <v>201</v>
      </c>
      <c r="C119" s="8" t="s">
        <v>202</v>
      </c>
      <c r="D119" s="8">
        <v>0</v>
      </c>
      <c r="E119" s="8">
        <v>0.157415648537631</v>
      </c>
      <c r="F119" s="8">
        <v>0</v>
      </c>
      <c r="G119" s="8">
        <v>2.31846331519063</v>
      </c>
      <c r="H119" s="8">
        <v>0</v>
      </c>
      <c r="I119" s="8">
        <v>0</v>
      </c>
      <c r="J119" s="8">
        <v>44.9673631443528</v>
      </c>
      <c r="K119" s="8">
        <v>0</v>
      </c>
      <c r="L119" s="8">
        <v>15.5722273226996</v>
      </c>
      <c r="M119" s="8">
        <v>11.6428562261366</v>
      </c>
    </row>
    <row r="122" spans="1:13">
      <c r="A122" s="8" t="s">
        <v>262</v>
      </c>
      <c r="B122" s="8" t="s">
        <v>188</v>
      </c>
      <c r="C122" s="8" t="s">
        <v>189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</row>
    <row r="123" spans="1:13">
      <c r="A123" s="8" t="s">
        <v>262</v>
      </c>
      <c r="B123" s="8" t="s">
        <v>190</v>
      </c>
      <c r="C123" s="8" t="s">
        <v>191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</row>
    <row r="124" spans="1:13">
      <c r="A124" s="8" t="s">
        <v>262</v>
      </c>
      <c r="B124" s="8" t="s">
        <v>192</v>
      </c>
      <c r="C124" s="8" t="s">
        <v>193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>
      <c r="A125" s="8" t="s">
        <v>262</v>
      </c>
      <c r="B125" s="8" t="s">
        <v>192</v>
      </c>
      <c r="C125" s="8" t="s">
        <v>194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</row>
    <row r="126" spans="1:13">
      <c r="A126" s="8" t="s">
        <v>262</v>
      </c>
      <c r="B126" s="8" t="s">
        <v>195</v>
      </c>
      <c r="C126" s="8" t="s">
        <v>196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>
      <c r="A127" s="8" t="s">
        <v>262</v>
      </c>
      <c r="B127" s="8" t="s">
        <v>195</v>
      </c>
      <c r="C127" s="8" t="s">
        <v>197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</row>
    <row r="128" spans="1:13">
      <c r="A128" s="8" t="s">
        <v>262</v>
      </c>
      <c r="B128" s="8" t="s">
        <v>198</v>
      </c>
      <c r="C128" s="8" t="s">
        <v>199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</row>
    <row r="129" spans="1:13">
      <c r="A129" s="8" t="s">
        <v>262</v>
      </c>
      <c r="B129" s="8" t="s">
        <v>36</v>
      </c>
      <c r="C129" s="8" t="s">
        <v>130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</row>
    <row r="130" spans="1:13">
      <c r="A130" s="8" t="s">
        <v>262</v>
      </c>
      <c r="B130" s="8" t="s">
        <v>200</v>
      </c>
      <c r="C130" s="8" t="s">
        <v>97</v>
      </c>
      <c r="D130" s="8">
        <v>0</v>
      </c>
      <c r="E130" s="8">
        <v>0</v>
      </c>
      <c r="F130" s="8">
        <v>0</v>
      </c>
      <c r="G130" s="8">
        <v>4.16543421805537</v>
      </c>
      <c r="H130" s="8">
        <v>0</v>
      </c>
      <c r="I130" s="8">
        <v>0</v>
      </c>
      <c r="J130" s="8">
        <v>0</v>
      </c>
      <c r="K130" s="8">
        <v>0</v>
      </c>
      <c r="L130" s="8">
        <v>3.5909869493837</v>
      </c>
      <c r="M130" s="8">
        <v>7.70694271225617</v>
      </c>
    </row>
    <row r="131" spans="1:13">
      <c r="A131" s="8" t="s">
        <v>262</v>
      </c>
      <c r="B131" s="8" t="s">
        <v>200</v>
      </c>
      <c r="C131" s="8" t="s">
        <v>98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</row>
    <row r="132" spans="1:13">
      <c r="A132" s="8" t="s">
        <v>262</v>
      </c>
      <c r="B132" s="8" t="s">
        <v>200</v>
      </c>
      <c r="C132" s="8" t="s">
        <v>95</v>
      </c>
      <c r="D132" s="8">
        <v>0</v>
      </c>
      <c r="E132" s="8">
        <v>0</v>
      </c>
      <c r="F132" s="8">
        <v>0</v>
      </c>
      <c r="G132" s="8">
        <v>0.937570564688574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</row>
    <row r="133" spans="1:13">
      <c r="A133" s="8" t="s">
        <v>262</v>
      </c>
      <c r="B133" s="8" t="s">
        <v>200</v>
      </c>
      <c r="C133" s="8" t="s">
        <v>93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>
      <c r="A134" s="8" t="s">
        <v>262</v>
      </c>
      <c r="B134" s="8" t="s">
        <v>200</v>
      </c>
      <c r="C134" s="8" t="s">
        <v>96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</row>
    <row r="135" spans="1:13">
      <c r="A135" s="8" t="s">
        <v>262</v>
      </c>
      <c r="B135" s="8" t="s">
        <v>200</v>
      </c>
      <c r="C135" s="8" t="s">
        <v>94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>
      <c r="A136" s="8" t="s">
        <v>262</v>
      </c>
      <c r="B136" s="8" t="s">
        <v>201</v>
      </c>
      <c r="C136" s="8" t="s">
        <v>202</v>
      </c>
      <c r="D136" s="8">
        <v>0</v>
      </c>
      <c r="E136" s="8">
        <v>0</v>
      </c>
      <c r="F136" s="8">
        <v>0.674262912879628</v>
      </c>
      <c r="G136" s="8">
        <v>0</v>
      </c>
      <c r="H136" s="8">
        <v>0</v>
      </c>
      <c r="I136" s="8">
        <v>0</v>
      </c>
      <c r="J136" s="8">
        <v>5.84164417104035</v>
      </c>
      <c r="K136" s="8">
        <v>0</v>
      </c>
      <c r="L136" s="8">
        <v>0.168461934385501</v>
      </c>
      <c r="M136" s="8">
        <v>0.518103670809177</v>
      </c>
    </row>
    <row r="139" spans="1:13">
      <c r="A139" s="8" t="s">
        <v>263</v>
      </c>
      <c r="B139" s="8" t="s">
        <v>188</v>
      </c>
      <c r="C139" s="8" t="s">
        <v>189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</row>
    <row r="140" spans="1:13">
      <c r="A140" s="8" t="s">
        <v>263</v>
      </c>
      <c r="B140" s="8" t="s">
        <v>190</v>
      </c>
      <c r="C140" s="8" t="s">
        <v>191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</row>
    <row r="141" spans="1:13">
      <c r="A141" s="8" t="s">
        <v>263</v>
      </c>
      <c r="B141" s="8" t="s">
        <v>192</v>
      </c>
      <c r="C141" s="8" t="s">
        <v>193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</row>
    <row r="142" spans="1:13">
      <c r="A142" s="8" t="s">
        <v>263</v>
      </c>
      <c r="B142" s="8" t="s">
        <v>192</v>
      </c>
      <c r="C142" s="8" t="s">
        <v>194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</row>
    <row r="143" spans="1:13">
      <c r="A143" s="8" t="s">
        <v>263</v>
      </c>
      <c r="B143" s="8" t="s">
        <v>195</v>
      </c>
      <c r="C143" s="8" t="s">
        <v>196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>
      <c r="A144" s="8" t="s">
        <v>263</v>
      </c>
      <c r="B144" s="8" t="s">
        <v>195</v>
      </c>
      <c r="C144" s="8" t="s">
        <v>197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>
      <c r="A145" s="8" t="s">
        <v>263</v>
      </c>
      <c r="B145" s="8" t="s">
        <v>198</v>
      </c>
      <c r="C145" s="8" t="s">
        <v>199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</row>
    <row r="146" spans="1:13">
      <c r="A146" s="8" t="s">
        <v>263</v>
      </c>
      <c r="B146" s="8" t="s">
        <v>36</v>
      </c>
      <c r="C146" s="8" t="s">
        <v>130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</row>
    <row r="147" spans="1:13">
      <c r="A147" s="8" t="s">
        <v>263</v>
      </c>
      <c r="B147" s="8" t="s">
        <v>200</v>
      </c>
      <c r="C147" s="8" t="s">
        <v>97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3">
      <c r="A148" s="8" t="s">
        <v>263</v>
      </c>
      <c r="B148" s="8" t="s">
        <v>200</v>
      </c>
      <c r="C148" s="8" t="s">
        <v>98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0.750239640361066</v>
      </c>
      <c r="M148" s="8">
        <v>0</v>
      </c>
    </row>
    <row r="149" spans="1:13">
      <c r="A149" s="8" t="s">
        <v>263</v>
      </c>
      <c r="B149" s="8" t="s">
        <v>200</v>
      </c>
      <c r="C149" s="8" t="s">
        <v>95</v>
      </c>
      <c r="D149" s="8">
        <v>0</v>
      </c>
      <c r="E149" s="8">
        <v>0</v>
      </c>
      <c r="F149" s="8">
        <v>2.1389681293933</v>
      </c>
      <c r="G149" s="8">
        <v>0</v>
      </c>
      <c r="H149" s="8">
        <v>0</v>
      </c>
      <c r="I149" s="8">
        <v>0</v>
      </c>
      <c r="J149" s="8">
        <v>0</v>
      </c>
      <c r="K149" s="8">
        <v>6.96081914017499</v>
      </c>
      <c r="L149" s="8">
        <v>0</v>
      </c>
      <c r="M149" s="8">
        <v>0</v>
      </c>
    </row>
    <row r="150" spans="1:13">
      <c r="A150" s="8" t="s">
        <v>263</v>
      </c>
      <c r="B150" s="8" t="s">
        <v>200</v>
      </c>
      <c r="C150" s="8" t="s">
        <v>93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3">
      <c r="A151" s="8" t="s">
        <v>263</v>
      </c>
      <c r="B151" s="8" t="s">
        <v>200</v>
      </c>
      <c r="C151" s="8" t="s">
        <v>96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3">
      <c r="A152" s="8" t="s">
        <v>263</v>
      </c>
      <c r="B152" s="8" t="s">
        <v>200</v>
      </c>
      <c r="C152" s="8" t="s">
        <v>94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13">
      <c r="A153" s="8" t="s">
        <v>263</v>
      </c>
      <c r="B153" s="8" t="s">
        <v>201</v>
      </c>
      <c r="C153" s="8" t="s">
        <v>202</v>
      </c>
      <c r="D153" s="8">
        <v>0</v>
      </c>
      <c r="E153" s="8">
        <v>0</v>
      </c>
      <c r="F153" s="8">
        <v>0</v>
      </c>
      <c r="G153" s="8">
        <v>1.59377324855069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12.0171021654627</v>
      </c>
    </row>
    <row r="154" spans="1:1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spans="1:1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spans="1:13">
      <c r="A156" s="8" t="s">
        <v>264</v>
      </c>
      <c r="B156" s="8" t="s">
        <v>188</v>
      </c>
      <c r="C156" s="8" t="s">
        <v>189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</row>
    <row r="157" spans="1:13">
      <c r="A157" s="8" t="s">
        <v>264</v>
      </c>
      <c r="B157" s="8" t="s">
        <v>190</v>
      </c>
      <c r="C157" s="8" t="s">
        <v>191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</row>
    <row r="158" spans="1:13">
      <c r="A158" s="8" t="s">
        <v>264</v>
      </c>
      <c r="B158" s="8" t="s">
        <v>192</v>
      </c>
      <c r="C158" s="8" t="s">
        <v>193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</row>
    <row r="159" spans="1:13">
      <c r="A159" s="8" t="s">
        <v>264</v>
      </c>
      <c r="B159" s="8" t="s">
        <v>192</v>
      </c>
      <c r="C159" s="8" t="s">
        <v>194</v>
      </c>
      <c r="D159" s="8">
        <v>0</v>
      </c>
      <c r="E159" s="8">
        <v>1.39223897909395</v>
      </c>
      <c r="F159" s="8">
        <v>3.77499920952505</v>
      </c>
      <c r="G159" s="8">
        <v>0</v>
      </c>
      <c r="H159" s="8">
        <v>1.81560434212723</v>
      </c>
      <c r="I159" s="8">
        <v>0</v>
      </c>
      <c r="J159" s="8">
        <v>0</v>
      </c>
      <c r="K159" s="8">
        <v>0</v>
      </c>
      <c r="L159" s="8">
        <v>4.79272690294976</v>
      </c>
      <c r="M159" s="8">
        <v>0</v>
      </c>
    </row>
    <row r="160" spans="1:13">
      <c r="A160" s="8" t="s">
        <v>264</v>
      </c>
      <c r="B160" s="8" t="s">
        <v>195</v>
      </c>
      <c r="C160" s="8" t="s">
        <v>196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</row>
    <row r="161" spans="1:13">
      <c r="A161" s="8" t="s">
        <v>264</v>
      </c>
      <c r="B161" s="8" t="s">
        <v>195</v>
      </c>
      <c r="C161" s="8" t="s">
        <v>197</v>
      </c>
      <c r="D161" s="8">
        <v>0</v>
      </c>
      <c r="E161" s="8">
        <v>0</v>
      </c>
      <c r="F161" s="8">
        <v>0</v>
      </c>
      <c r="G161" s="8">
        <v>5.04989565504439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</row>
    <row r="162" spans="1:13">
      <c r="A162" s="8" t="s">
        <v>264</v>
      </c>
      <c r="B162" s="8" t="s">
        <v>198</v>
      </c>
      <c r="C162" s="8" t="s">
        <v>199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</row>
    <row r="163" spans="1:13">
      <c r="A163" s="8" t="s">
        <v>264</v>
      </c>
      <c r="B163" s="8" t="s">
        <v>36</v>
      </c>
      <c r="C163" s="8" t="s">
        <v>130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3">
      <c r="A164" s="8" t="s">
        <v>264</v>
      </c>
      <c r="B164" s="8" t="s">
        <v>200</v>
      </c>
      <c r="C164" s="8" t="s">
        <v>97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13">
      <c r="A165" s="8" t="s">
        <v>264</v>
      </c>
      <c r="B165" s="8" t="s">
        <v>200</v>
      </c>
      <c r="C165" s="8" t="s">
        <v>98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13">
      <c r="A166" s="8" t="s">
        <v>264</v>
      </c>
      <c r="B166" s="8" t="s">
        <v>200</v>
      </c>
      <c r="C166" s="8" t="s">
        <v>95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13">
      <c r="A167" s="8" t="s">
        <v>264</v>
      </c>
      <c r="B167" s="8" t="s">
        <v>200</v>
      </c>
      <c r="C167" s="8" t="s">
        <v>93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3">
      <c r="A168" s="8" t="s">
        <v>264</v>
      </c>
      <c r="B168" s="8" t="s">
        <v>200</v>
      </c>
      <c r="C168" s="8" t="s">
        <v>96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3">
      <c r="A169" s="8" t="s">
        <v>264</v>
      </c>
      <c r="B169" s="8" t="s">
        <v>200</v>
      </c>
      <c r="C169" s="8" t="s">
        <v>94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3">
      <c r="A170" s="8" t="s">
        <v>264</v>
      </c>
      <c r="B170" s="8" t="s">
        <v>201</v>
      </c>
      <c r="C170" s="8" t="s">
        <v>202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3" spans="1:13">
      <c r="A173" s="8" t="s">
        <v>265</v>
      </c>
      <c r="B173" s="8" t="s">
        <v>188</v>
      </c>
      <c r="C173" s="8" t="s">
        <v>189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1:13">
      <c r="A174" s="8" t="s">
        <v>265</v>
      </c>
      <c r="B174" s="8" t="s">
        <v>190</v>
      </c>
      <c r="C174" s="8" t="s">
        <v>191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</row>
    <row r="175" spans="1:13">
      <c r="A175" s="8" t="s">
        <v>265</v>
      </c>
      <c r="B175" s="8" t="s">
        <v>192</v>
      </c>
      <c r="C175" s="8" t="s">
        <v>193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</row>
    <row r="176" spans="1:13">
      <c r="A176" s="8" t="s">
        <v>265</v>
      </c>
      <c r="B176" s="8" t="s">
        <v>192</v>
      </c>
      <c r="C176" s="8" t="s">
        <v>194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3">
      <c r="A177" s="8" t="s">
        <v>265</v>
      </c>
      <c r="B177" s="8" t="s">
        <v>195</v>
      </c>
      <c r="C177" s="8" t="s">
        <v>196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</row>
    <row r="178" spans="1:13">
      <c r="A178" s="8" t="s">
        <v>265</v>
      </c>
      <c r="B178" s="8" t="s">
        <v>195</v>
      </c>
      <c r="C178" s="8" t="s">
        <v>197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</row>
    <row r="179" spans="1:13">
      <c r="A179" s="8" t="s">
        <v>265</v>
      </c>
      <c r="B179" s="8" t="s">
        <v>198</v>
      </c>
      <c r="C179" s="8" t="s">
        <v>199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</row>
    <row r="180" spans="1:13">
      <c r="A180" s="8" t="s">
        <v>265</v>
      </c>
      <c r="B180" s="8" t="s">
        <v>36</v>
      </c>
      <c r="C180" s="8" t="s">
        <v>130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</row>
    <row r="181" spans="1:13">
      <c r="A181" s="8" t="s">
        <v>265</v>
      </c>
      <c r="B181" s="8" t="s">
        <v>200</v>
      </c>
      <c r="C181" s="8" t="s">
        <v>97</v>
      </c>
      <c r="D181" s="8">
        <v>0</v>
      </c>
      <c r="E181" s="8">
        <v>0</v>
      </c>
      <c r="F181" s="8">
        <v>0</v>
      </c>
      <c r="G181" s="8">
        <v>1.29679527879156</v>
      </c>
      <c r="H181" s="8">
        <v>0</v>
      </c>
      <c r="I181" s="8">
        <v>0</v>
      </c>
      <c r="J181" s="8">
        <v>0</v>
      </c>
      <c r="K181" s="8">
        <v>0</v>
      </c>
      <c r="L181" s="8">
        <v>3.66783757057496</v>
      </c>
      <c r="M181" s="8">
        <v>9.02642027622943</v>
      </c>
    </row>
    <row r="182" spans="1:13">
      <c r="A182" s="8" t="s">
        <v>265</v>
      </c>
      <c r="B182" s="8" t="s">
        <v>200</v>
      </c>
      <c r="C182" s="8" t="s">
        <v>98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</row>
    <row r="183" spans="1:13">
      <c r="A183" s="8" t="s">
        <v>265</v>
      </c>
      <c r="B183" s="8" t="s">
        <v>200</v>
      </c>
      <c r="C183" s="8" t="s">
        <v>95</v>
      </c>
      <c r="D183" s="8">
        <v>0</v>
      </c>
      <c r="E183" s="8">
        <v>0</v>
      </c>
      <c r="F183" s="8">
        <v>0</v>
      </c>
      <c r="G183" s="8">
        <v>0.449163619898563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</row>
    <row r="184" spans="1:13">
      <c r="A184" s="8" t="s">
        <v>265</v>
      </c>
      <c r="B184" s="8" t="s">
        <v>200</v>
      </c>
      <c r="C184" s="8" t="s">
        <v>93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3">
      <c r="A185" s="8" t="s">
        <v>265</v>
      </c>
      <c r="B185" s="8" t="s">
        <v>200</v>
      </c>
      <c r="C185" s="8" t="s">
        <v>96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3">
      <c r="A186" s="8" t="s">
        <v>265</v>
      </c>
      <c r="B186" s="8" t="s">
        <v>200</v>
      </c>
      <c r="C186" s="8" t="s">
        <v>94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3">
      <c r="A187" s="8" t="s">
        <v>265</v>
      </c>
      <c r="B187" s="8" t="s">
        <v>201</v>
      </c>
      <c r="C187" s="8" t="s">
        <v>202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</row>
    <row r="190" spans="1:13">
      <c r="A190" s="8" t="s">
        <v>266</v>
      </c>
      <c r="B190" s="8" t="s">
        <v>188</v>
      </c>
      <c r="C190" s="8" t="s">
        <v>189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>
      <c r="A191" s="8" t="s">
        <v>266</v>
      </c>
      <c r="B191" s="8" t="s">
        <v>190</v>
      </c>
      <c r="C191" s="8" t="s">
        <v>191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</row>
    <row r="192" spans="1:13">
      <c r="A192" s="8" t="s">
        <v>266</v>
      </c>
      <c r="B192" s="8" t="s">
        <v>192</v>
      </c>
      <c r="C192" s="8" t="s">
        <v>193</v>
      </c>
      <c r="D192" s="8">
        <v>0</v>
      </c>
      <c r="E192" s="8">
        <v>4.26050901572705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1.26014140511851</v>
      </c>
      <c r="M192" s="8">
        <v>0</v>
      </c>
    </row>
    <row r="193" spans="1:13">
      <c r="A193" s="8" t="s">
        <v>266</v>
      </c>
      <c r="B193" s="8" t="s">
        <v>192</v>
      </c>
      <c r="C193" s="8" t="s">
        <v>194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3">
      <c r="A194" s="8" t="s">
        <v>266</v>
      </c>
      <c r="B194" s="8" t="s">
        <v>195</v>
      </c>
      <c r="C194" s="8" t="s">
        <v>196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</row>
    <row r="195" spans="1:13">
      <c r="A195" s="8" t="s">
        <v>266</v>
      </c>
      <c r="B195" s="8" t="s">
        <v>195</v>
      </c>
      <c r="C195" s="8" t="s">
        <v>197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</row>
    <row r="196" spans="1:13">
      <c r="A196" s="8" t="s">
        <v>266</v>
      </c>
      <c r="B196" s="8" t="s">
        <v>198</v>
      </c>
      <c r="C196" s="8" t="s">
        <v>199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</row>
    <row r="197" spans="1:13">
      <c r="A197" s="8" t="s">
        <v>266</v>
      </c>
      <c r="B197" s="8" t="s">
        <v>36</v>
      </c>
      <c r="C197" s="8" t="s">
        <v>130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1:13">
      <c r="A198" s="8" t="s">
        <v>266</v>
      </c>
      <c r="B198" s="8" t="s">
        <v>200</v>
      </c>
      <c r="C198" s="8" t="s">
        <v>97</v>
      </c>
      <c r="D198" s="8">
        <v>0</v>
      </c>
      <c r="E198" s="8">
        <v>0</v>
      </c>
      <c r="F198" s="8">
        <v>0</v>
      </c>
      <c r="G198" s="8">
        <v>0.843582183058788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</row>
    <row r="199" spans="1:13">
      <c r="A199" s="8" t="s">
        <v>266</v>
      </c>
      <c r="B199" s="8" t="s">
        <v>200</v>
      </c>
      <c r="C199" s="8" t="s">
        <v>98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</row>
    <row r="200" spans="1:13">
      <c r="A200" s="8" t="s">
        <v>266</v>
      </c>
      <c r="B200" s="8" t="s">
        <v>200</v>
      </c>
      <c r="C200" s="8" t="s">
        <v>95</v>
      </c>
      <c r="D200" s="8">
        <v>0</v>
      </c>
      <c r="E200" s="8">
        <v>12.3843307773678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</row>
    <row r="201" spans="1:13">
      <c r="A201" s="8" t="s">
        <v>266</v>
      </c>
      <c r="B201" s="8" t="s">
        <v>200</v>
      </c>
      <c r="C201" s="8" t="s">
        <v>93</v>
      </c>
      <c r="D201" s="8">
        <v>0</v>
      </c>
      <c r="E201" s="8">
        <v>2.7859302624807</v>
      </c>
      <c r="F201" s="8">
        <v>0</v>
      </c>
      <c r="G201" s="8">
        <v>1.7647635623759</v>
      </c>
      <c r="H201" s="8">
        <v>0</v>
      </c>
      <c r="I201" s="8">
        <v>0</v>
      </c>
      <c r="J201" s="8">
        <v>0</v>
      </c>
      <c r="K201" s="8">
        <v>2.82215972472127</v>
      </c>
      <c r="L201" s="8">
        <v>2.10772629334944</v>
      </c>
      <c r="M201" s="8">
        <v>2.94864346672542</v>
      </c>
    </row>
    <row r="202" spans="1:13">
      <c r="A202" s="8" t="s">
        <v>266</v>
      </c>
      <c r="B202" s="8" t="s">
        <v>200</v>
      </c>
      <c r="C202" s="8" t="s">
        <v>96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13">
      <c r="A203" s="8" t="s">
        <v>266</v>
      </c>
      <c r="B203" s="8" t="s">
        <v>200</v>
      </c>
      <c r="C203" s="8" t="s">
        <v>94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0.586192701016107</v>
      </c>
      <c r="L203" s="8">
        <v>0</v>
      </c>
      <c r="M203" s="8">
        <v>0</v>
      </c>
    </row>
    <row r="204" spans="1:13">
      <c r="A204" s="8" t="s">
        <v>266</v>
      </c>
      <c r="B204" s="8" t="s">
        <v>201</v>
      </c>
      <c r="C204" s="8" t="s">
        <v>202</v>
      </c>
      <c r="D204" s="8">
        <v>0</v>
      </c>
      <c r="E204" s="8">
        <v>0.535682046255455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2.5919218214405</v>
      </c>
    </row>
    <row r="205" spans="1:1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spans="1:1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>
      <c r="A207" s="8" t="s">
        <v>267</v>
      </c>
      <c r="B207" s="8" t="s">
        <v>188</v>
      </c>
      <c r="C207" s="8" t="s">
        <v>189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</row>
    <row r="208" spans="1:13">
      <c r="A208" s="8" t="s">
        <v>267</v>
      </c>
      <c r="B208" s="8" t="s">
        <v>190</v>
      </c>
      <c r="C208" s="8" t="s">
        <v>191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</row>
    <row r="209" spans="1:13">
      <c r="A209" s="8" t="s">
        <v>267</v>
      </c>
      <c r="B209" s="8" t="s">
        <v>192</v>
      </c>
      <c r="C209" s="8" t="s">
        <v>193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</row>
    <row r="210" spans="1:13">
      <c r="A210" s="8" t="s">
        <v>267</v>
      </c>
      <c r="B210" s="8" t="s">
        <v>192</v>
      </c>
      <c r="C210" s="8" t="s">
        <v>194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spans="1:13">
      <c r="A211" s="8" t="s">
        <v>267</v>
      </c>
      <c r="B211" s="8" t="s">
        <v>195</v>
      </c>
      <c r="C211" s="8" t="s">
        <v>196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</row>
    <row r="212" spans="1:13">
      <c r="A212" s="8" t="s">
        <v>267</v>
      </c>
      <c r="B212" s="8" t="s">
        <v>195</v>
      </c>
      <c r="C212" s="8" t="s">
        <v>197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</row>
    <row r="213" spans="1:13">
      <c r="A213" s="8" t="s">
        <v>267</v>
      </c>
      <c r="B213" s="8" t="s">
        <v>198</v>
      </c>
      <c r="C213" s="8" t="s">
        <v>199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</row>
    <row r="214" spans="1:13">
      <c r="A214" s="8" t="s">
        <v>267</v>
      </c>
      <c r="B214" s="8" t="s">
        <v>36</v>
      </c>
      <c r="C214" s="8" t="s">
        <v>130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13">
      <c r="A215" s="8" t="s">
        <v>267</v>
      </c>
      <c r="B215" s="8" t="s">
        <v>200</v>
      </c>
      <c r="C215" s="8" t="s">
        <v>97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</row>
    <row r="216" spans="1:13">
      <c r="A216" s="8" t="s">
        <v>267</v>
      </c>
      <c r="B216" s="8" t="s">
        <v>200</v>
      </c>
      <c r="C216" s="8" t="s">
        <v>98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1.83391715085901</v>
      </c>
      <c r="M216" s="8">
        <v>0</v>
      </c>
    </row>
    <row r="217" spans="1:13">
      <c r="A217" s="8" t="s">
        <v>267</v>
      </c>
      <c r="B217" s="8" t="s">
        <v>200</v>
      </c>
      <c r="C217" s="8" t="s">
        <v>95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3.29428167231034</v>
      </c>
      <c r="L217" s="8">
        <v>4.19181563685352</v>
      </c>
      <c r="M217" s="8">
        <v>0</v>
      </c>
    </row>
    <row r="218" spans="1:13">
      <c r="A218" s="8" t="s">
        <v>267</v>
      </c>
      <c r="B218" s="8" t="s">
        <v>200</v>
      </c>
      <c r="C218" s="8" t="s">
        <v>93</v>
      </c>
      <c r="D218" s="8">
        <v>0</v>
      </c>
      <c r="E218" s="8">
        <v>0</v>
      </c>
      <c r="F218" s="8">
        <v>0</v>
      </c>
      <c r="G218" s="8">
        <v>4.60943559282837</v>
      </c>
      <c r="H218" s="8">
        <v>0</v>
      </c>
      <c r="I218" s="8">
        <v>0</v>
      </c>
      <c r="J218" s="8">
        <v>0</v>
      </c>
      <c r="K218" s="8">
        <v>0</v>
      </c>
      <c r="L218" s="8">
        <v>1.3667730502459</v>
      </c>
      <c r="M218" s="8">
        <v>1.04491247827122</v>
      </c>
    </row>
    <row r="219" spans="1:13">
      <c r="A219" s="8" t="s">
        <v>267</v>
      </c>
      <c r="B219" s="8" t="s">
        <v>200</v>
      </c>
      <c r="C219" s="8" t="s">
        <v>96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</row>
    <row r="220" spans="1:13">
      <c r="A220" s="8" t="s">
        <v>267</v>
      </c>
      <c r="B220" s="8" t="s">
        <v>200</v>
      </c>
      <c r="C220" s="8" t="s">
        <v>94</v>
      </c>
      <c r="D220" s="8">
        <v>0</v>
      </c>
      <c r="E220" s="8">
        <v>0</v>
      </c>
      <c r="F220" s="8">
        <v>0</v>
      </c>
      <c r="G220" s="8">
        <v>6.0145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</row>
    <row r="221" spans="1:13">
      <c r="A221" s="8" t="s">
        <v>267</v>
      </c>
      <c r="B221" s="8" t="s">
        <v>201</v>
      </c>
      <c r="C221" s="8" t="s">
        <v>202</v>
      </c>
      <c r="D221" s="8">
        <v>0</v>
      </c>
      <c r="E221" s="8">
        <v>0</v>
      </c>
      <c r="F221" s="8">
        <v>0</v>
      </c>
      <c r="G221" s="8">
        <v>6.0145</v>
      </c>
      <c r="H221" s="8">
        <v>0</v>
      </c>
      <c r="I221" s="8">
        <v>0</v>
      </c>
      <c r="J221" s="8">
        <v>0</v>
      </c>
      <c r="K221" s="8">
        <v>0</v>
      </c>
      <c r="L221" s="8">
        <v>1.05739499185675</v>
      </c>
      <c r="M221" s="8">
        <v>29.08334710868</v>
      </c>
    </row>
    <row r="222" spans="1:1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spans="1:1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spans="1:1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spans="1:13">
      <c r="A225" s="8" t="s">
        <v>268</v>
      </c>
      <c r="B225" s="8" t="s">
        <v>188</v>
      </c>
      <c r="C225" s="8" t="s">
        <v>189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1:13">
      <c r="A226" s="8" t="s">
        <v>268</v>
      </c>
      <c r="B226" s="8" t="s">
        <v>190</v>
      </c>
      <c r="C226" s="8" t="s">
        <v>191</v>
      </c>
      <c r="D226" s="8">
        <v>0</v>
      </c>
      <c r="E226" s="8">
        <v>0</v>
      </c>
      <c r="F226" s="8">
        <v>0</v>
      </c>
      <c r="G226" s="8">
        <v>0.258308907363026</v>
      </c>
      <c r="H226" s="8">
        <v>0</v>
      </c>
      <c r="I226" s="8">
        <v>3.34916642696619</v>
      </c>
      <c r="J226" s="8">
        <v>0</v>
      </c>
      <c r="K226" s="8">
        <v>0</v>
      </c>
      <c r="L226" s="8">
        <v>0</v>
      </c>
      <c r="M226" s="8">
        <v>0</v>
      </c>
    </row>
    <row r="227" spans="1:13">
      <c r="A227" s="8" t="s">
        <v>268</v>
      </c>
      <c r="B227" s="8" t="s">
        <v>192</v>
      </c>
      <c r="C227" s="8" t="s">
        <v>193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1:13">
      <c r="A228" s="8" t="s">
        <v>268</v>
      </c>
      <c r="B228" s="8" t="s">
        <v>192</v>
      </c>
      <c r="C228" s="8" t="s">
        <v>194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>
      <c r="A229" s="8" t="s">
        <v>268</v>
      </c>
      <c r="B229" s="8" t="s">
        <v>195</v>
      </c>
      <c r="C229" s="8" t="s">
        <v>196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>
      <c r="A230" s="8" t="s">
        <v>268</v>
      </c>
      <c r="B230" s="8" t="s">
        <v>195</v>
      </c>
      <c r="C230" s="8" t="s">
        <v>197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>
      <c r="A231" s="8" t="s">
        <v>268</v>
      </c>
      <c r="B231" s="8" t="s">
        <v>198</v>
      </c>
      <c r="C231" s="8" t="s">
        <v>199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>
      <c r="A232" s="8" t="s">
        <v>268</v>
      </c>
      <c r="B232" s="8" t="s">
        <v>36</v>
      </c>
      <c r="C232" s="8" t="s">
        <v>130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>
      <c r="A233" s="8" t="s">
        <v>268</v>
      </c>
      <c r="B233" s="8" t="s">
        <v>200</v>
      </c>
      <c r="C233" s="8" t="s">
        <v>97</v>
      </c>
      <c r="D233" s="8">
        <v>0</v>
      </c>
      <c r="E233" s="8">
        <v>0</v>
      </c>
      <c r="F233" s="8">
        <v>0</v>
      </c>
      <c r="G233" s="8">
        <v>0</v>
      </c>
      <c r="H233" s="8">
        <v>3.23179985771876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</row>
    <row r="234" spans="1:13">
      <c r="A234" s="8" t="s">
        <v>268</v>
      </c>
      <c r="B234" s="8" t="s">
        <v>200</v>
      </c>
      <c r="C234" s="8" t="s">
        <v>98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11.4203123288338</v>
      </c>
      <c r="K234" s="8">
        <v>0</v>
      </c>
      <c r="L234" s="8">
        <v>0.523976378655153</v>
      </c>
      <c r="M234" s="8">
        <v>0</v>
      </c>
    </row>
    <row r="235" spans="1:13">
      <c r="A235" s="8" t="s">
        <v>268</v>
      </c>
      <c r="B235" s="8" t="s">
        <v>200</v>
      </c>
      <c r="C235" s="8" t="s">
        <v>95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</row>
    <row r="236" spans="1:13">
      <c r="A236" s="8" t="s">
        <v>268</v>
      </c>
      <c r="B236" s="8" t="s">
        <v>200</v>
      </c>
      <c r="C236" s="8" t="s">
        <v>93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1:13">
      <c r="A237" s="8" t="s">
        <v>268</v>
      </c>
      <c r="B237" s="8" t="s">
        <v>200</v>
      </c>
      <c r="C237" s="8" t="s">
        <v>96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</row>
    <row r="238" spans="1:13">
      <c r="A238" s="8" t="s">
        <v>268</v>
      </c>
      <c r="B238" s="8" t="s">
        <v>200</v>
      </c>
      <c r="C238" s="8" t="s">
        <v>94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1:13">
      <c r="A239" s="8" t="s">
        <v>268</v>
      </c>
      <c r="B239" s="8" t="s">
        <v>201</v>
      </c>
      <c r="C239" s="8" t="s">
        <v>202</v>
      </c>
      <c r="D239" s="8">
        <v>0</v>
      </c>
      <c r="E239" s="8">
        <v>0</v>
      </c>
      <c r="F239" s="8">
        <v>0</v>
      </c>
      <c r="G239" s="8">
        <v>2.47725766248037</v>
      </c>
      <c r="H239" s="8">
        <v>0</v>
      </c>
      <c r="I239" s="8">
        <v>2.10307372087875</v>
      </c>
      <c r="J239" s="8">
        <v>0</v>
      </c>
      <c r="K239" s="8">
        <v>0</v>
      </c>
      <c r="L239" s="8">
        <v>0.588100041566932</v>
      </c>
      <c r="M239" s="8">
        <v>0</v>
      </c>
    </row>
  </sheetData>
  <mergeCells count="2">
    <mergeCell ref="D1:H1"/>
    <mergeCell ref="I1:M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9"/>
  <sheetViews>
    <sheetView workbookViewId="0">
      <selection activeCell="A1" sqref="A1"/>
    </sheetView>
  </sheetViews>
  <sheetFormatPr defaultColWidth="8.75454545454545" defaultRowHeight="14"/>
  <cols>
    <col min="1" max="2" width="8.75454545454545" style="11"/>
    <col min="3" max="3" width="18.8727272727273" style="11" customWidth="1"/>
    <col min="4" max="4" width="8.75454545454545" style="11"/>
    <col min="5" max="7" width="12.8727272727273" style="11"/>
    <col min="8" max="8" width="8.75454545454545" style="11"/>
    <col min="9" max="13" width="12.8727272727273" style="11"/>
    <col min="14" max="17" width="8.75454545454545" style="1"/>
  </cols>
  <sheetData>
    <row r="1" spans="1:13">
      <c r="D1" s="2" t="s">
        <v>185</v>
      </c>
      <c r="E1" s="3"/>
      <c r="F1" s="3"/>
      <c r="G1" s="3"/>
      <c r="H1" s="4"/>
      <c r="I1" s="5" t="s">
        <v>186</v>
      </c>
      <c r="J1" s="6"/>
      <c r="K1" s="6"/>
      <c r="L1" s="6"/>
      <c r="M1" s="7"/>
    </row>
    <row r="2" spans="1:13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</row>
    <row r="3" spans="1:13">
      <c r="A3" s="8" t="s">
        <v>269</v>
      </c>
      <c r="B3" s="8" t="s">
        <v>188</v>
      </c>
      <c r="C3" s="8" t="s">
        <v>189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11.3102405824628</v>
      </c>
    </row>
    <row r="4" spans="1:13">
      <c r="A4" s="8" t="s">
        <v>269</v>
      </c>
      <c r="B4" s="8" t="s">
        <v>190</v>
      </c>
      <c r="C4" s="8" t="s">
        <v>191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>
      <c r="A5" s="8" t="s">
        <v>269</v>
      </c>
      <c r="B5" s="8" t="s">
        <v>192</v>
      </c>
      <c r="C5" s="8" t="s">
        <v>193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>
      <c r="A6" s="8" t="s">
        <v>269</v>
      </c>
      <c r="B6" s="8" t="s">
        <v>192</v>
      </c>
      <c r="C6" s="8" t="s">
        <v>194</v>
      </c>
      <c r="D6" s="8">
        <v>0</v>
      </c>
      <c r="E6" s="8">
        <v>0</v>
      </c>
      <c r="F6" s="8">
        <v>0</v>
      </c>
      <c r="G6" s="8">
        <v>1.64001488601338</v>
      </c>
      <c r="H6" s="8">
        <v>0</v>
      </c>
      <c r="I6" s="8">
        <v>0</v>
      </c>
      <c r="J6" s="8">
        <v>0</v>
      </c>
      <c r="K6" s="8">
        <v>0</v>
      </c>
      <c r="L6" s="8">
        <v>1.43865184003794</v>
      </c>
      <c r="M6" s="8">
        <v>0</v>
      </c>
    </row>
    <row r="7" spans="1:13">
      <c r="A7" s="8" t="s">
        <v>269</v>
      </c>
      <c r="B7" s="8" t="s">
        <v>195</v>
      </c>
      <c r="C7" s="8" t="s">
        <v>196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>
      <c r="A8" s="8" t="s">
        <v>269</v>
      </c>
      <c r="B8" s="8" t="s">
        <v>195</v>
      </c>
      <c r="C8" s="8" t="s">
        <v>197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>
      <c r="A9" s="8" t="s">
        <v>269</v>
      </c>
      <c r="B9" s="8" t="s">
        <v>198</v>
      </c>
      <c r="C9" s="8" t="s">
        <v>199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>
      <c r="A10" s="8" t="s">
        <v>269</v>
      </c>
      <c r="B10" s="8" t="s">
        <v>36</v>
      </c>
      <c r="C10" s="8" t="s">
        <v>130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16.0904</v>
      </c>
    </row>
    <row r="11" spans="1:13">
      <c r="A11" s="8" t="s">
        <v>269</v>
      </c>
      <c r="B11" s="8" t="s">
        <v>200</v>
      </c>
      <c r="C11" s="8" t="s">
        <v>97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>
      <c r="A12" s="8" t="s">
        <v>269</v>
      </c>
      <c r="B12" s="8" t="s">
        <v>200</v>
      </c>
      <c r="C12" s="8" t="s">
        <v>98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5.67874699142293</v>
      </c>
      <c r="M12" s="8">
        <v>0</v>
      </c>
    </row>
    <row r="13" spans="1:13">
      <c r="A13" s="8" t="s">
        <v>269</v>
      </c>
      <c r="B13" s="8" t="s">
        <v>200</v>
      </c>
      <c r="C13" s="8" t="s">
        <v>95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>
      <c r="A14" s="8" t="s">
        <v>269</v>
      </c>
      <c r="B14" s="8" t="s">
        <v>200</v>
      </c>
      <c r="C14" s="8" t="s">
        <v>93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>
      <c r="A15" s="8" t="s">
        <v>269</v>
      </c>
      <c r="B15" s="8" t="s">
        <v>200</v>
      </c>
      <c r="C15" s="8" t="s">
        <v>96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>
      <c r="A16" s="8" t="s">
        <v>269</v>
      </c>
      <c r="B16" s="8" t="s">
        <v>200</v>
      </c>
      <c r="C16" s="8" t="s">
        <v>94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8" t="s">
        <v>269</v>
      </c>
      <c r="B17" s="8" t="s">
        <v>201</v>
      </c>
      <c r="C17" s="8" t="s">
        <v>202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4.50542891366333</v>
      </c>
      <c r="M17" s="8">
        <v>0</v>
      </c>
    </row>
    <row r="21" spans="1:13">
      <c r="A21" s="8" t="s">
        <v>270</v>
      </c>
      <c r="B21" s="8" t="s">
        <v>188</v>
      </c>
      <c r="C21" s="8" t="s">
        <v>189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 t="s">
        <v>270</v>
      </c>
      <c r="B22" s="8" t="s">
        <v>190</v>
      </c>
      <c r="C22" s="8" t="s">
        <v>191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 t="s">
        <v>270</v>
      </c>
      <c r="B23" s="8" t="s">
        <v>192</v>
      </c>
      <c r="C23" s="8" t="s">
        <v>193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 t="s">
        <v>270</v>
      </c>
      <c r="B24" s="8" t="s">
        <v>192</v>
      </c>
      <c r="C24" s="8" t="s">
        <v>194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 t="s">
        <v>270</v>
      </c>
      <c r="B25" s="8" t="s">
        <v>195</v>
      </c>
      <c r="C25" s="8" t="s">
        <v>196</v>
      </c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 t="s">
        <v>270</v>
      </c>
      <c r="B26" s="8" t="s">
        <v>195</v>
      </c>
      <c r="C26" s="8" t="s">
        <v>197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 t="s">
        <v>270</v>
      </c>
      <c r="B27" s="8" t="s">
        <v>198</v>
      </c>
      <c r="C27" s="8" t="s">
        <v>199</v>
      </c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 t="s">
        <v>270</v>
      </c>
      <c r="B28" s="8" t="s">
        <v>36</v>
      </c>
      <c r="C28" s="8" t="s">
        <v>130</v>
      </c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 t="s">
        <v>270</v>
      </c>
      <c r="B29" s="8" t="s">
        <v>200</v>
      </c>
      <c r="C29" s="8" t="s">
        <v>97</v>
      </c>
      <c r="D29" s="8">
        <v>0</v>
      </c>
      <c r="E29" s="8">
        <v>1.47637055101361</v>
      </c>
      <c r="F29" s="8">
        <v>0</v>
      </c>
      <c r="G29" s="8">
        <v>9.11345677549965</v>
      </c>
      <c r="H29" s="8">
        <v>0</v>
      </c>
      <c r="I29" s="8">
        <v>130.209393422277</v>
      </c>
      <c r="J29" s="8">
        <v>0</v>
      </c>
      <c r="K29" s="8">
        <v>0</v>
      </c>
      <c r="L29" s="8">
        <v>6.4683538484421</v>
      </c>
      <c r="M29" s="8">
        <v>0</v>
      </c>
    </row>
    <row r="30" spans="1:13">
      <c r="A30" s="8" t="s">
        <v>270</v>
      </c>
      <c r="B30" s="8" t="s">
        <v>200</v>
      </c>
      <c r="C30" s="8" t="s">
        <v>98</v>
      </c>
      <c r="D30" s="8">
        <v>0</v>
      </c>
      <c r="E30" s="8">
        <v>0.67103001237285</v>
      </c>
      <c r="F30" s="8">
        <v>0</v>
      </c>
      <c r="G30" s="8">
        <v>0</v>
      </c>
      <c r="H30" s="8">
        <v>0</v>
      </c>
      <c r="I30" s="8">
        <v>0</v>
      </c>
      <c r="J30" s="8">
        <v>1.12859448777324</v>
      </c>
      <c r="K30" s="8">
        <v>0</v>
      </c>
      <c r="L30" s="8">
        <v>11.9587220936947</v>
      </c>
      <c r="M30" s="8">
        <v>0</v>
      </c>
    </row>
    <row r="31" spans="1:13">
      <c r="A31" s="8" t="s">
        <v>270</v>
      </c>
      <c r="B31" s="8" t="s">
        <v>200</v>
      </c>
      <c r="C31" s="8" t="s">
        <v>95</v>
      </c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 t="s">
        <v>270</v>
      </c>
      <c r="B32" s="8" t="s">
        <v>200</v>
      </c>
      <c r="C32" s="8" t="s">
        <v>93</v>
      </c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 t="s">
        <v>270</v>
      </c>
      <c r="B33" s="8" t="s">
        <v>200</v>
      </c>
      <c r="C33" s="8" t="s">
        <v>96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 t="s">
        <v>270</v>
      </c>
      <c r="B34" s="8" t="s">
        <v>200</v>
      </c>
      <c r="C34" s="8" t="s">
        <v>94</v>
      </c>
      <c r="D34" s="8">
        <v>0</v>
      </c>
      <c r="E34" s="8">
        <v>0</v>
      </c>
      <c r="F34" s="8">
        <v>0.764884672892615</v>
      </c>
      <c r="G34" s="8">
        <v>1.76691703298605</v>
      </c>
      <c r="H34" s="8">
        <v>0</v>
      </c>
      <c r="I34" s="8">
        <v>0</v>
      </c>
      <c r="J34" s="8">
        <v>44.9678789530206</v>
      </c>
      <c r="K34" s="8">
        <v>5.30819868930488</v>
      </c>
      <c r="L34" s="8">
        <v>1.19041707133575</v>
      </c>
      <c r="M34" s="8">
        <v>0</v>
      </c>
    </row>
    <row r="35" spans="1:13">
      <c r="A35" s="8" t="s">
        <v>270</v>
      </c>
      <c r="B35" s="8" t="s">
        <v>201</v>
      </c>
      <c r="C35" s="8" t="s">
        <v>202</v>
      </c>
      <c r="D35" s="8">
        <v>0</v>
      </c>
      <c r="E35" s="8">
        <v>1.54536331918031</v>
      </c>
      <c r="F35" s="8">
        <v>0</v>
      </c>
      <c r="G35" s="8">
        <v>2.73318796260903</v>
      </c>
      <c r="H35" s="8">
        <v>0</v>
      </c>
      <c r="I35" s="8">
        <v>0</v>
      </c>
      <c r="J35" s="8">
        <v>0</v>
      </c>
      <c r="K35" s="8">
        <v>0</v>
      </c>
      <c r="L35" s="8">
        <v>4.1872637277337</v>
      </c>
      <c r="M35" s="8">
        <v>11.6078446039747</v>
      </c>
    </row>
    <row r="38" spans="1:13">
      <c r="A38" s="8" t="s">
        <v>271</v>
      </c>
      <c r="B38" s="8" t="s">
        <v>188</v>
      </c>
      <c r="C38" s="8" t="s">
        <v>189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 t="s">
        <v>271</v>
      </c>
      <c r="B39" s="8" t="s">
        <v>190</v>
      </c>
      <c r="C39" s="8" t="s">
        <v>191</v>
      </c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>
      <c r="A40" s="8" t="s">
        <v>271</v>
      </c>
      <c r="B40" s="8" t="s">
        <v>192</v>
      </c>
      <c r="C40" s="8" t="s">
        <v>193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>
      <c r="A41" s="8" t="s">
        <v>271</v>
      </c>
      <c r="B41" s="8" t="s">
        <v>192</v>
      </c>
      <c r="C41" s="8" t="s">
        <v>194</v>
      </c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>
      <c r="A42" s="8" t="s">
        <v>271</v>
      </c>
      <c r="B42" s="8" t="s">
        <v>195</v>
      </c>
      <c r="C42" s="8" t="s">
        <v>196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8" t="s">
        <v>271</v>
      </c>
      <c r="B43" s="8" t="s">
        <v>195</v>
      </c>
      <c r="C43" s="8" t="s">
        <v>197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>
      <c r="A44" s="8" t="s">
        <v>271</v>
      </c>
      <c r="B44" s="8" t="s">
        <v>198</v>
      </c>
      <c r="C44" s="8" t="s">
        <v>199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>
      <c r="A45" s="8" t="s">
        <v>271</v>
      </c>
      <c r="B45" s="8" t="s">
        <v>36</v>
      </c>
      <c r="C45" s="8" t="s">
        <v>130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>
      <c r="A46" s="8" t="s">
        <v>271</v>
      </c>
      <c r="B46" s="8" t="s">
        <v>200</v>
      </c>
      <c r="C46" s="8" t="s">
        <v>97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</row>
    <row r="47" spans="1:13">
      <c r="A47" s="8" t="s">
        <v>271</v>
      </c>
      <c r="B47" s="8" t="s">
        <v>200</v>
      </c>
      <c r="C47" s="8" t="s">
        <v>98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5.01129378469796</v>
      </c>
      <c r="K47" s="8">
        <v>0</v>
      </c>
      <c r="L47" s="8">
        <v>0.318941099180407</v>
      </c>
      <c r="M47" s="8">
        <v>0</v>
      </c>
    </row>
    <row r="48" spans="1:13">
      <c r="A48" s="8" t="s">
        <v>271</v>
      </c>
      <c r="B48" s="8" t="s">
        <v>200</v>
      </c>
      <c r="C48" s="8" t="s">
        <v>95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13.8083344327423</v>
      </c>
      <c r="M48" s="8">
        <v>0</v>
      </c>
    </row>
    <row r="49" spans="1:13">
      <c r="A49" s="8" t="s">
        <v>271</v>
      </c>
      <c r="B49" s="8" t="s">
        <v>200</v>
      </c>
      <c r="C49" s="8" t="s">
        <v>93</v>
      </c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>
      <c r="A50" s="8" t="s">
        <v>271</v>
      </c>
      <c r="B50" s="8" t="s">
        <v>200</v>
      </c>
      <c r="C50" s="8" t="s">
        <v>96</v>
      </c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>
      <c r="A51" s="8" t="s">
        <v>271</v>
      </c>
      <c r="B51" s="8" t="s">
        <v>200</v>
      </c>
      <c r="C51" s="8" t="s">
        <v>94</v>
      </c>
      <c r="D51" s="8">
        <v>0</v>
      </c>
      <c r="E51" s="8">
        <v>0</v>
      </c>
      <c r="F51" s="8">
        <v>0</v>
      </c>
      <c r="G51" s="8">
        <v>0.791915234859691</v>
      </c>
      <c r="H51" s="8">
        <v>0</v>
      </c>
      <c r="I51" s="8">
        <v>0</v>
      </c>
      <c r="J51" s="8">
        <v>0</v>
      </c>
      <c r="K51" s="8">
        <v>0</v>
      </c>
      <c r="L51" s="8">
        <v>0.840546266009666</v>
      </c>
      <c r="M51" s="8">
        <v>0</v>
      </c>
    </row>
    <row r="52" spans="1:13">
      <c r="A52" s="8" t="s">
        <v>271</v>
      </c>
      <c r="B52" s="8" t="s">
        <v>201</v>
      </c>
      <c r="C52" s="8" t="s">
        <v>202</v>
      </c>
      <c r="D52" s="8">
        <v>0</v>
      </c>
      <c r="E52" s="8">
        <v>0</v>
      </c>
      <c r="F52" s="8">
        <v>0</v>
      </c>
      <c r="G52" s="8">
        <v>1.20111247902038</v>
      </c>
      <c r="H52" s="8">
        <v>0</v>
      </c>
      <c r="I52" s="8">
        <v>0</v>
      </c>
      <c r="J52" s="8">
        <v>0</v>
      </c>
      <c r="K52" s="8">
        <v>0</v>
      </c>
      <c r="L52" s="8">
        <v>2.44522456541951</v>
      </c>
      <c r="M52" s="8">
        <v>0</v>
      </c>
    </row>
    <row r="55" spans="1:13">
      <c r="A55" s="8" t="s">
        <v>272</v>
      </c>
      <c r="B55" s="8" t="s">
        <v>188</v>
      </c>
      <c r="C55" s="8" t="s">
        <v>189</v>
      </c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>
      <c r="A56" s="8" t="s">
        <v>272</v>
      </c>
      <c r="B56" s="8" t="s">
        <v>190</v>
      </c>
      <c r="C56" s="8" t="s">
        <v>191</v>
      </c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>
      <c r="A57" s="8" t="s">
        <v>272</v>
      </c>
      <c r="B57" s="8" t="s">
        <v>192</v>
      </c>
      <c r="C57" s="8" t="s">
        <v>193</v>
      </c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>
      <c r="A58" s="8" t="s">
        <v>272</v>
      </c>
      <c r="B58" s="8" t="s">
        <v>192</v>
      </c>
      <c r="C58" s="8" t="s">
        <v>194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>
      <c r="A59" s="8" t="s">
        <v>272</v>
      </c>
      <c r="B59" s="8" t="s">
        <v>195</v>
      </c>
      <c r="C59" s="8" t="s">
        <v>196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>
      <c r="A60" s="8" t="s">
        <v>272</v>
      </c>
      <c r="B60" s="8" t="s">
        <v>195</v>
      </c>
      <c r="C60" s="8" t="s">
        <v>197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>
      <c r="A61" s="8" t="s">
        <v>272</v>
      </c>
      <c r="B61" s="8" t="s">
        <v>198</v>
      </c>
      <c r="C61" s="8" t="s">
        <v>199</v>
      </c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>
      <c r="A62" s="8" t="s">
        <v>272</v>
      </c>
      <c r="B62" s="8" t="s">
        <v>36</v>
      </c>
      <c r="C62" s="8" t="s">
        <v>130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</row>
    <row r="63" spans="1:13">
      <c r="A63" s="8" t="s">
        <v>272</v>
      </c>
      <c r="B63" s="8" t="s">
        <v>200</v>
      </c>
      <c r="C63" s="8" t="s">
        <v>97</v>
      </c>
      <c r="D63" s="8">
        <v>0</v>
      </c>
      <c r="E63" s="8">
        <v>0</v>
      </c>
      <c r="F63" s="8">
        <v>0</v>
      </c>
      <c r="G63" s="8">
        <v>1.22661516901475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1.55059377847393</v>
      </c>
    </row>
    <row r="64" spans="1:13">
      <c r="A64" s="8" t="s">
        <v>272</v>
      </c>
      <c r="B64" s="8" t="s">
        <v>200</v>
      </c>
      <c r="C64" s="8" t="s">
        <v>98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6.40621007450367</v>
      </c>
      <c r="L64" s="8">
        <v>4.19181773505099</v>
      </c>
      <c r="M64" s="8">
        <v>0</v>
      </c>
    </row>
    <row r="65" spans="1:13">
      <c r="A65" s="8" t="s">
        <v>272</v>
      </c>
      <c r="B65" s="8" t="s">
        <v>200</v>
      </c>
      <c r="C65" s="8" t="s">
        <v>95</v>
      </c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>
      <c r="A66" s="8" t="s">
        <v>272</v>
      </c>
      <c r="B66" s="8" t="s">
        <v>200</v>
      </c>
      <c r="C66" s="8" t="s">
        <v>93</v>
      </c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>
      <c r="A67" s="8" t="s">
        <v>272</v>
      </c>
      <c r="B67" s="8" t="s">
        <v>200</v>
      </c>
      <c r="C67" s="8" t="s">
        <v>96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0.619916124699536</v>
      </c>
      <c r="M67" s="8">
        <v>0</v>
      </c>
    </row>
    <row r="68" spans="1:13">
      <c r="A68" s="8" t="s">
        <v>272</v>
      </c>
      <c r="B68" s="8" t="s">
        <v>200</v>
      </c>
      <c r="C68" s="8" t="s">
        <v>94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1.22858637374134</v>
      </c>
      <c r="L68" s="8">
        <v>0.179796382851171</v>
      </c>
      <c r="M68" s="8">
        <v>1.83095552510278</v>
      </c>
    </row>
    <row r="69" spans="1:13">
      <c r="A69" s="8" t="s">
        <v>272</v>
      </c>
      <c r="B69" s="8" t="s">
        <v>201</v>
      </c>
      <c r="C69" s="8" t="s">
        <v>202</v>
      </c>
      <c r="D69" s="8"/>
      <c r="E69" s="8"/>
      <c r="F69" s="8"/>
      <c r="G69" s="8"/>
      <c r="H69" s="8"/>
      <c r="I69" s="8"/>
      <c r="J69" s="8"/>
      <c r="K69" s="8"/>
      <c r="L69" s="8"/>
      <c r="M69" s="8"/>
    </row>
    <row r="72" spans="1:13">
      <c r="A72" s="8" t="s">
        <v>273</v>
      </c>
      <c r="B72" s="8" t="s">
        <v>188</v>
      </c>
      <c r="C72" s="8" t="s">
        <v>189</v>
      </c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>
      <c r="A73" s="8" t="s">
        <v>273</v>
      </c>
      <c r="B73" s="8" t="s">
        <v>190</v>
      </c>
      <c r="C73" s="8" t="s">
        <v>191</v>
      </c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>
      <c r="A74" s="8" t="s">
        <v>273</v>
      </c>
      <c r="B74" s="8" t="s">
        <v>192</v>
      </c>
      <c r="C74" s="8" t="s">
        <v>193</v>
      </c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>
      <c r="A75" s="8" t="s">
        <v>273</v>
      </c>
      <c r="B75" s="8" t="s">
        <v>192</v>
      </c>
      <c r="C75" s="8" t="s">
        <v>194</v>
      </c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>
      <c r="A76" s="8" t="s">
        <v>273</v>
      </c>
      <c r="B76" s="8" t="s">
        <v>195</v>
      </c>
      <c r="C76" s="8" t="s">
        <v>196</v>
      </c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>
      <c r="A77" s="8" t="s">
        <v>273</v>
      </c>
      <c r="B77" s="8" t="s">
        <v>195</v>
      </c>
      <c r="C77" s="8" t="s">
        <v>197</v>
      </c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>
      <c r="A78" s="8" t="s">
        <v>273</v>
      </c>
      <c r="B78" s="8" t="s">
        <v>198</v>
      </c>
      <c r="C78" s="8" t="s">
        <v>199</v>
      </c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>
      <c r="A79" s="8" t="s">
        <v>273</v>
      </c>
      <c r="B79" s="8" t="s">
        <v>36</v>
      </c>
      <c r="C79" s="8" t="s">
        <v>130</v>
      </c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>
      <c r="A80" s="8" t="s">
        <v>273</v>
      </c>
      <c r="B80" s="8" t="s">
        <v>200</v>
      </c>
      <c r="C80" s="8" t="s">
        <v>97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98.5956109360578</v>
      </c>
      <c r="K80" s="8">
        <v>0</v>
      </c>
      <c r="L80" s="8">
        <v>0</v>
      </c>
      <c r="M80" s="8">
        <v>0</v>
      </c>
    </row>
    <row r="81" spans="1:13">
      <c r="A81" s="8" t="s">
        <v>273</v>
      </c>
      <c r="B81" s="8" t="s">
        <v>200</v>
      </c>
      <c r="C81" s="8" t="s">
        <v>98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3.80676681045997</v>
      </c>
      <c r="K81" s="8">
        <v>0</v>
      </c>
      <c r="L81" s="8">
        <v>0</v>
      </c>
      <c r="M81" s="8">
        <v>0</v>
      </c>
    </row>
    <row r="82" spans="1:13">
      <c r="A82" s="8" t="s">
        <v>273</v>
      </c>
      <c r="B82" s="8" t="s">
        <v>200</v>
      </c>
      <c r="C82" s="8" t="s">
        <v>95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</row>
    <row r="83" spans="1:13">
      <c r="A83" s="8" t="s">
        <v>273</v>
      </c>
      <c r="B83" s="8" t="s">
        <v>200</v>
      </c>
      <c r="C83" s="8" t="s">
        <v>93</v>
      </c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>
      <c r="A84" s="8" t="s">
        <v>273</v>
      </c>
      <c r="B84" s="8" t="s">
        <v>200</v>
      </c>
      <c r="C84" s="8" t="s">
        <v>96</v>
      </c>
      <c r="D84" s="8">
        <v>0</v>
      </c>
      <c r="E84" s="8">
        <v>7.21698681831285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0.923141354679353</v>
      </c>
      <c r="M84" s="8">
        <v>0.307951318094578</v>
      </c>
    </row>
    <row r="85" spans="1:13">
      <c r="A85" s="8" t="s">
        <v>273</v>
      </c>
      <c r="B85" s="8" t="s">
        <v>200</v>
      </c>
      <c r="C85" s="8" t="s">
        <v>94</v>
      </c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>
      <c r="A86" s="8" t="s">
        <v>273</v>
      </c>
      <c r="B86" s="8" t="s">
        <v>201</v>
      </c>
      <c r="C86" s="8" t="s">
        <v>202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</row>
    <row r="89" spans="1:13">
      <c r="A89" s="8" t="s">
        <v>274</v>
      </c>
      <c r="B89" s="8" t="s">
        <v>188</v>
      </c>
      <c r="C89" s="8" t="s">
        <v>189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</row>
    <row r="90" spans="1:13">
      <c r="A90" s="8" t="s">
        <v>274</v>
      </c>
      <c r="B90" s="8" t="s">
        <v>190</v>
      </c>
      <c r="C90" s="8" t="s">
        <v>191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3.82689736582948</v>
      </c>
      <c r="M90" s="8">
        <v>0</v>
      </c>
    </row>
    <row r="91" spans="1:13">
      <c r="A91" s="8" t="s">
        <v>274</v>
      </c>
      <c r="B91" s="8" t="s">
        <v>192</v>
      </c>
      <c r="C91" s="8" t="s">
        <v>193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</row>
    <row r="92" spans="1:13">
      <c r="A92" s="8" t="s">
        <v>274</v>
      </c>
      <c r="B92" s="8" t="s">
        <v>192</v>
      </c>
      <c r="C92" s="8" t="s">
        <v>194</v>
      </c>
      <c r="D92" s="8">
        <v>0</v>
      </c>
      <c r="E92" s="8">
        <v>0</v>
      </c>
      <c r="F92" s="8">
        <v>0</v>
      </c>
      <c r="G92" s="8">
        <v>7.70797062677615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</row>
    <row r="93" spans="1:13">
      <c r="A93" s="8" t="s">
        <v>274</v>
      </c>
      <c r="B93" s="8" t="s">
        <v>195</v>
      </c>
      <c r="C93" s="8" t="s">
        <v>196</v>
      </c>
      <c r="D93" s="8">
        <v>0</v>
      </c>
      <c r="E93" s="8">
        <v>0</v>
      </c>
      <c r="F93" s="8">
        <v>0</v>
      </c>
      <c r="G93" s="8">
        <v>2.24792860414099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</row>
    <row r="94" spans="1:13">
      <c r="A94" s="8" t="s">
        <v>274</v>
      </c>
      <c r="B94" s="8" t="s">
        <v>195</v>
      </c>
      <c r="C94" s="8" t="s">
        <v>197</v>
      </c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>
      <c r="A95" s="8" t="s">
        <v>274</v>
      </c>
      <c r="B95" s="8" t="s">
        <v>198</v>
      </c>
      <c r="C95" s="8" t="s">
        <v>199</v>
      </c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>
      <c r="A96" s="8" t="s">
        <v>274</v>
      </c>
      <c r="B96" s="8" t="s">
        <v>36</v>
      </c>
      <c r="C96" s="8" t="s">
        <v>130</v>
      </c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3">
      <c r="A97" s="8" t="s">
        <v>274</v>
      </c>
      <c r="B97" s="8" t="s">
        <v>200</v>
      </c>
      <c r="C97" s="8" t="s">
        <v>97</v>
      </c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>
      <c r="A98" s="8" t="s">
        <v>274</v>
      </c>
      <c r="B98" s="8" t="s">
        <v>200</v>
      </c>
      <c r="C98" s="8" t="s">
        <v>98</v>
      </c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3">
      <c r="A99" s="8" t="s">
        <v>274</v>
      </c>
      <c r="B99" s="8" t="s">
        <v>200</v>
      </c>
      <c r="C99" s="8" t="s">
        <v>95</v>
      </c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>
      <c r="A100" s="8" t="s">
        <v>274</v>
      </c>
      <c r="B100" s="8" t="s">
        <v>200</v>
      </c>
      <c r="C100" s="8" t="s">
        <v>93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3">
      <c r="A101" s="8" t="s">
        <v>274</v>
      </c>
      <c r="B101" s="8" t="s">
        <v>200</v>
      </c>
      <c r="C101" s="8" t="s">
        <v>96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3">
      <c r="A102" s="8" t="s">
        <v>274</v>
      </c>
      <c r="B102" s="8" t="s">
        <v>200</v>
      </c>
      <c r="C102" s="8" t="s">
        <v>94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13">
      <c r="A103" s="8" t="s">
        <v>274</v>
      </c>
      <c r="B103" s="8" t="s">
        <v>201</v>
      </c>
      <c r="C103" s="8" t="s">
        <v>202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6" spans="1:13">
      <c r="A106" s="8" t="s">
        <v>275</v>
      </c>
      <c r="B106" s="8" t="s">
        <v>188</v>
      </c>
      <c r="C106" s="8" t="s">
        <v>189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</row>
    <row r="107" spans="1:13">
      <c r="A107" s="8" t="s">
        <v>275</v>
      </c>
      <c r="B107" s="8" t="s">
        <v>190</v>
      </c>
      <c r="C107" s="8" t="s">
        <v>191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</row>
    <row r="108" spans="1:13">
      <c r="A108" s="8" t="s">
        <v>275</v>
      </c>
      <c r="B108" s="8" t="s">
        <v>192</v>
      </c>
      <c r="C108" s="8" t="s">
        <v>193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>
      <c r="A109" s="8" t="s">
        <v>275</v>
      </c>
      <c r="B109" s="8" t="s">
        <v>192</v>
      </c>
      <c r="C109" s="8" t="s">
        <v>194</v>
      </c>
      <c r="D109" s="8">
        <v>0</v>
      </c>
      <c r="E109" s="8">
        <v>0</v>
      </c>
      <c r="F109" s="8">
        <v>0</v>
      </c>
      <c r="G109" s="8">
        <v>12.6197516347827</v>
      </c>
      <c r="H109" s="8">
        <v>0</v>
      </c>
      <c r="I109" s="8">
        <v>0</v>
      </c>
      <c r="J109" s="8">
        <v>0</v>
      </c>
      <c r="K109" s="8">
        <v>0</v>
      </c>
      <c r="L109" s="8">
        <v>3.72832107718252</v>
      </c>
      <c r="M109" s="8">
        <v>0</v>
      </c>
    </row>
    <row r="110" spans="1:13">
      <c r="A110" s="8" t="s">
        <v>275</v>
      </c>
      <c r="B110" s="8" t="s">
        <v>195</v>
      </c>
      <c r="C110" s="8" t="s">
        <v>196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>
      <c r="A111" s="8" t="s">
        <v>275</v>
      </c>
      <c r="B111" s="8" t="s">
        <v>195</v>
      </c>
      <c r="C111" s="8" t="s">
        <v>197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>
      <c r="A112" s="8" t="s">
        <v>275</v>
      </c>
      <c r="B112" s="8" t="s">
        <v>198</v>
      </c>
      <c r="C112" s="8" t="s">
        <v>199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3">
      <c r="A113" s="8" t="s">
        <v>275</v>
      </c>
      <c r="B113" s="8" t="s">
        <v>36</v>
      </c>
      <c r="C113" s="8" t="s">
        <v>130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</row>
    <row r="114" spans="1:13">
      <c r="A114" s="8" t="s">
        <v>275</v>
      </c>
      <c r="B114" s="8" t="s">
        <v>200</v>
      </c>
      <c r="C114" s="8" t="s">
        <v>97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</row>
    <row r="115" spans="1:13">
      <c r="A115" s="8" t="s">
        <v>275</v>
      </c>
      <c r="B115" s="8" t="s">
        <v>200</v>
      </c>
      <c r="C115" s="8" t="s">
        <v>98</v>
      </c>
      <c r="D115" s="8">
        <v>0</v>
      </c>
      <c r="E115" s="8">
        <v>0</v>
      </c>
      <c r="F115" s="8">
        <v>16.8137827954118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</row>
    <row r="116" spans="1:13">
      <c r="A116" s="8" t="s">
        <v>275</v>
      </c>
      <c r="B116" s="8" t="s">
        <v>200</v>
      </c>
      <c r="C116" s="8" t="s">
        <v>95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0.579132651318486</v>
      </c>
      <c r="M116" s="8">
        <v>0</v>
      </c>
    </row>
    <row r="117" spans="1:13">
      <c r="A117" s="8" t="s">
        <v>275</v>
      </c>
      <c r="B117" s="8" t="s">
        <v>200</v>
      </c>
      <c r="C117" s="8" t="s">
        <v>93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>
      <c r="A118" s="8" t="s">
        <v>275</v>
      </c>
      <c r="B118" s="8" t="s">
        <v>200</v>
      </c>
      <c r="C118" s="8" t="s">
        <v>96</v>
      </c>
      <c r="D118" s="8">
        <v>0</v>
      </c>
      <c r="E118" s="8">
        <v>0</v>
      </c>
      <c r="F118" s="8">
        <v>0</v>
      </c>
      <c r="G118" s="8">
        <v>2.59401320401352</v>
      </c>
      <c r="H118" s="8">
        <v>0</v>
      </c>
      <c r="I118" s="8">
        <v>0</v>
      </c>
      <c r="J118" s="8">
        <v>0</v>
      </c>
      <c r="K118" s="8">
        <v>0</v>
      </c>
      <c r="L118" s="8">
        <v>0.122944411586754</v>
      </c>
      <c r="M118" s="8">
        <v>0</v>
      </c>
    </row>
    <row r="119" spans="1:13">
      <c r="A119" s="8" t="s">
        <v>275</v>
      </c>
      <c r="B119" s="8" t="s">
        <v>200</v>
      </c>
      <c r="C119" s="8" t="s">
        <v>94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</row>
    <row r="120" spans="1:13">
      <c r="A120" s="8" t="s">
        <v>275</v>
      </c>
      <c r="B120" s="8" t="s">
        <v>201</v>
      </c>
      <c r="C120" s="8" t="s">
        <v>202</v>
      </c>
      <c r="D120" s="8">
        <v>0</v>
      </c>
      <c r="E120" s="8">
        <v>0</v>
      </c>
      <c r="F120" s="8">
        <v>0</v>
      </c>
      <c r="G120" s="8">
        <v>5.21440585913118</v>
      </c>
      <c r="H120" s="8">
        <v>0</v>
      </c>
      <c r="I120" s="8">
        <v>0</v>
      </c>
      <c r="J120" s="8">
        <v>0</v>
      </c>
      <c r="K120" s="8">
        <v>0</v>
      </c>
      <c r="L120" s="8">
        <v>1.896138721204</v>
      </c>
      <c r="M120" s="8">
        <v>11.6078446039747</v>
      </c>
    </row>
    <row r="123" spans="1:13">
      <c r="A123" s="8" t="s">
        <v>276</v>
      </c>
      <c r="B123" s="8" t="s">
        <v>188</v>
      </c>
      <c r="C123" s="8" t="s">
        <v>189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</row>
    <row r="124" spans="1:13">
      <c r="A124" s="8" t="s">
        <v>276</v>
      </c>
      <c r="B124" s="8" t="s">
        <v>190</v>
      </c>
      <c r="C124" s="8" t="s">
        <v>191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</row>
    <row r="125" spans="1:13">
      <c r="A125" s="8" t="s">
        <v>276</v>
      </c>
      <c r="B125" s="8" t="s">
        <v>192</v>
      </c>
      <c r="C125" s="8" t="s">
        <v>193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</row>
    <row r="126" spans="1:13">
      <c r="A126" s="8" t="s">
        <v>276</v>
      </c>
      <c r="B126" s="8" t="s">
        <v>192</v>
      </c>
      <c r="C126" s="8" t="s">
        <v>194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</row>
    <row r="127" spans="1:13">
      <c r="A127" s="8" t="s">
        <v>276</v>
      </c>
      <c r="B127" s="8" t="s">
        <v>195</v>
      </c>
      <c r="C127" s="8" t="s">
        <v>196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</row>
    <row r="128" spans="1:13">
      <c r="A128" s="8" t="s">
        <v>276</v>
      </c>
      <c r="B128" s="8" t="s">
        <v>195</v>
      </c>
      <c r="C128" s="8" t="s">
        <v>197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</row>
    <row r="129" spans="1:13">
      <c r="A129" s="8" t="s">
        <v>276</v>
      </c>
      <c r="B129" s="8" t="s">
        <v>198</v>
      </c>
      <c r="C129" s="8" t="s">
        <v>199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</row>
    <row r="130" spans="1:13">
      <c r="A130" s="8" t="s">
        <v>276</v>
      </c>
      <c r="B130" s="8" t="s">
        <v>36</v>
      </c>
      <c r="C130" s="8" t="s">
        <v>130</v>
      </c>
      <c r="D130" s="8">
        <v>0</v>
      </c>
      <c r="E130" s="8">
        <v>0</v>
      </c>
      <c r="F130" s="8">
        <v>3.51942963792991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</row>
    <row r="131" spans="1:13">
      <c r="A131" s="8" t="s">
        <v>276</v>
      </c>
      <c r="B131" s="8" t="s">
        <v>200</v>
      </c>
      <c r="C131" s="8" t="s">
        <v>97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</row>
    <row r="132" spans="1:13">
      <c r="A132" s="8" t="s">
        <v>276</v>
      </c>
      <c r="B132" s="8" t="s">
        <v>200</v>
      </c>
      <c r="C132" s="8" t="s">
        <v>98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3.54951741136394</v>
      </c>
      <c r="M132" s="8">
        <v>0</v>
      </c>
    </row>
    <row r="133" spans="1:13">
      <c r="A133" s="8" t="s">
        <v>276</v>
      </c>
      <c r="B133" s="8" t="s">
        <v>200</v>
      </c>
      <c r="C133" s="8" t="s">
        <v>95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0.45142613697273</v>
      </c>
      <c r="M133" s="8">
        <v>0</v>
      </c>
    </row>
    <row r="134" spans="1:13">
      <c r="A134" s="8" t="s">
        <v>276</v>
      </c>
      <c r="B134" s="8" t="s">
        <v>200</v>
      </c>
      <c r="C134" s="8" t="s">
        <v>93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>
      <c r="A135" s="8" t="s">
        <v>276</v>
      </c>
      <c r="B135" s="8" t="s">
        <v>200</v>
      </c>
      <c r="C135" s="8" t="s">
        <v>96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>
      <c r="A136" s="8" t="s">
        <v>276</v>
      </c>
      <c r="B136" s="8" t="s">
        <v>200</v>
      </c>
      <c r="C136" s="8" t="s">
        <v>94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1.078775575826</v>
      </c>
      <c r="M136" s="8">
        <v>0</v>
      </c>
    </row>
    <row r="137" spans="1:13">
      <c r="A137" s="8" t="s">
        <v>276</v>
      </c>
      <c r="B137" s="8" t="s">
        <v>201</v>
      </c>
      <c r="C137" s="8" t="s">
        <v>202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40" spans="1:13">
      <c r="A140" s="8" t="s">
        <v>277</v>
      </c>
      <c r="B140" s="8" t="s">
        <v>188</v>
      </c>
      <c r="C140" s="8" t="s">
        <v>189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>
      <c r="A141" s="8" t="s">
        <v>277</v>
      </c>
      <c r="B141" s="8" t="s">
        <v>190</v>
      </c>
      <c r="C141" s="8" t="s">
        <v>191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>
      <c r="A142" s="8" t="s">
        <v>277</v>
      </c>
      <c r="B142" s="8" t="s">
        <v>192</v>
      </c>
      <c r="C142" s="8" t="s">
        <v>193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>
      <c r="A143" s="8" t="s">
        <v>277</v>
      </c>
      <c r="B143" s="8" t="s">
        <v>192</v>
      </c>
      <c r="C143" s="8" t="s">
        <v>194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>
      <c r="A144" s="8" t="s">
        <v>277</v>
      </c>
      <c r="B144" s="8" t="s">
        <v>195</v>
      </c>
      <c r="C144" s="8" t="s">
        <v>196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>
      <c r="A145" s="8" t="s">
        <v>277</v>
      </c>
      <c r="B145" s="8" t="s">
        <v>195</v>
      </c>
      <c r="C145" s="8" t="s">
        <v>197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3">
      <c r="A146" s="8" t="s">
        <v>277</v>
      </c>
      <c r="B146" s="8" t="s">
        <v>198</v>
      </c>
      <c r="C146" s="8" t="s">
        <v>199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3">
      <c r="A147" s="8" t="s">
        <v>277</v>
      </c>
      <c r="B147" s="8" t="s">
        <v>36</v>
      </c>
      <c r="C147" s="8" t="s">
        <v>130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</row>
    <row r="148" spans="1:13">
      <c r="A148" s="8" t="s">
        <v>277</v>
      </c>
      <c r="B148" s="8" t="s">
        <v>200</v>
      </c>
      <c r="C148" s="8" t="s">
        <v>97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22.0071830805657</v>
      </c>
      <c r="M148" s="8">
        <v>0</v>
      </c>
    </row>
    <row r="149" spans="1:13">
      <c r="A149" s="8" t="s">
        <v>277</v>
      </c>
      <c r="B149" s="8" t="s">
        <v>200</v>
      </c>
      <c r="C149" s="8" t="s">
        <v>98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</row>
    <row r="150" spans="1:13">
      <c r="A150" s="8" t="s">
        <v>277</v>
      </c>
      <c r="B150" s="8" t="s">
        <v>200</v>
      </c>
      <c r="C150" s="8" t="s">
        <v>95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</row>
    <row r="151" spans="1:13">
      <c r="A151" s="8" t="s">
        <v>277</v>
      </c>
      <c r="B151" s="8" t="s">
        <v>200</v>
      </c>
      <c r="C151" s="8" t="s">
        <v>93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3">
      <c r="A152" s="8" t="s">
        <v>277</v>
      </c>
      <c r="B152" s="8" t="s">
        <v>200</v>
      </c>
      <c r="C152" s="8" t="s">
        <v>96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</row>
    <row r="153" spans="1:13">
      <c r="A153" s="8" t="s">
        <v>277</v>
      </c>
      <c r="B153" s="8" t="s">
        <v>200</v>
      </c>
      <c r="C153" s="8" t="s">
        <v>94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3">
      <c r="A154" s="8" t="s">
        <v>277</v>
      </c>
      <c r="B154" s="8" t="s">
        <v>201</v>
      </c>
      <c r="C154" s="8" t="s">
        <v>202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1.64846682372181</v>
      </c>
      <c r="M154" s="8">
        <v>0</v>
      </c>
    </row>
    <row r="157" spans="1:13">
      <c r="A157" s="8" t="s">
        <v>278</v>
      </c>
      <c r="B157" s="8" t="s">
        <v>188</v>
      </c>
      <c r="C157" s="8" t="s">
        <v>189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</row>
    <row r="158" spans="1:13">
      <c r="A158" s="8" t="s">
        <v>278</v>
      </c>
      <c r="B158" s="8" t="s">
        <v>190</v>
      </c>
      <c r="C158" s="8" t="s">
        <v>191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</row>
    <row r="159" spans="1:13">
      <c r="A159" s="8" t="s">
        <v>278</v>
      </c>
      <c r="B159" s="8" t="s">
        <v>192</v>
      </c>
      <c r="C159" s="8" t="s">
        <v>193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</row>
    <row r="160" spans="1:13">
      <c r="A160" s="8" t="s">
        <v>278</v>
      </c>
      <c r="B160" s="8" t="s">
        <v>192</v>
      </c>
      <c r="C160" s="8" t="s">
        <v>194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13">
      <c r="A161" s="8" t="s">
        <v>278</v>
      </c>
      <c r="B161" s="8" t="s">
        <v>195</v>
      </c>
      <c r="C161" s="8" t="s">
        <v>196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</row>
    <row r="162" spans="1:13">
      <c r="A162" s="8" t="s">
        <v>278</v>
      </c>
      <c r="B162" s="8" t="s">
        <v>195</v>
      </c>
      <c r="C162" s="8" t="s">
        <v>197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</row>
    <row r="163" spans="1:13">
      <c r="A163" s="8" t="s">
        <v>278</v>
      </c>
      <c r="B163" s="8" t="s">
        <v>198</v>
      </c>
      <c r="C163" s="8" t="s">
        <v>199</v>
      </c>
      <c r="D163" s="8">
        <v>0</v>
      </c>
      <c r="E163" s="8">
        <v>0</v>
      </c>
      <c r="F163" s="8">
        <v>0</v>
      </c>
      <c r="G163" s="8">
        <v>5.75610033442866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</row>
    <row r="164" spans="1:13">
      <c r="A164" s="8" t="s">
        <v>278</v>
      </c>
      <c r="B164" s="8" t="s">
        <v>36</v>
      </c>
      <c r="C164" s="8" t="s">
        <v>130</v>
      </c>
      <c r="D164" s="8">
        <v>0</v>
      </c>
      <c r="E164" s="8">
        <v>0</v>
      </c>
      <c r="F164" s="8">
        <v>2.9224634632317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</row>
    <row r="165" spans="1:13">
      <c r="A165" s="8" t="s">
        <v>278</v>
      </c>
      <c r="B165" s="8" t="s">
        <v>200</v>
      </c>
      <c r="C165" s="8" t="s">
        <v>97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</row>
    <row r="166" spans="1:13">
      <c r="A166" s="8" t="s">
        <v>278</v>
      </c>
      <c r="B166" s="8" t="s">
        <v>200</v>
      </c>
      <c r="C166" s="8" t="s">
        <v>98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3.19768359340562</v>
      </c>
      <c r="K166" s="8">
        <v>0</v>
      </c>
      <c r="L166" s="8">
        <v>2.09590760675181</v>
      </c>
      <c r="M166" s="8">
        <v>0</v>
      </c>
    </row>
    <row r="167" spans="1:13">
      <c r="A167" s="8" t="s">
        <v>278</v>
      </c>
      <c r="B167" s="8" t="s">
        <v>200</v>
      </c>
      <c r="C167" s="8" t="s">
        <v>95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3.26030180335401</v>
      </c>
      <c r="M167" s="8">
        <v>0</v>
      </c>
    </row>
    <row r="168" spans="1:13">
      <c r="A168" s="8" t="s">
        <v>278</v>
      </c>
      <c r="B168" s="8" t="s">
        <v>200</v>
      </c>
      <c r="C168" s="8" t="s">
        <v>93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3">
      <c r="A169" s="8" t="s">
        <v>278</v>
      </c>
      <c r="B169" s="8" t="s">
        <v>200</v>
      </c>
      <c r="C169" s="8" t="s">
        <v>96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0.183391841833218</v>
      </c>
      <c r="M169" s="8">
        <v>0</v>
      </c>
    </row>
    <row r="170" spans="1:13">
      <c r="A170" s="8" t="s">
        <v>278</v>
      </c>
      <c r="B170" s="8" t="s">
        <v>200</v>
      </c>
      <c r="C170" s="8" t="s">
        <v>94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9.65573616223841</v>
      </c>
      <c r="L170" s="8">
        <v>0</v>
      </c>
      <c r="M170" s="8">
        <v>0</v>
      </c>
    </row>
    <row r="171" spans="1:13">
      <c r="A171" s="8" t="s">
        <v>278</v>
      </c>
      <c r="B171" s="8" t="s">
        <v>201</v>
      </c>
      <c r="C171" s="8" t="s">
        <v>202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</row>
    <row r="174" spans="1:13">
      <c r="A174" s="8" t="s">
        <v>279</v>
      </c>
      <c r="B174" s="8" t="s">
        <v>188</v>
      </c>
      <c r="C174" s="8" t="s">
        <v>189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1:13">
      <c r="A175" s="8" t="s">
        <v>279</v>
      </c>
      <c r="B175" s="8" t="s">
        <v>190</v>
      </c>
      <c r="C175" s="8" t="s">
        <v>191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1:13">
      <c r="A176" s="8" t="s">
        <v>279</v>
      </c>
      <c r="B176" s="8" t="s">
        <v>192</v>
      </c>
      <c r="C176" s="8" t="s">
        <v>193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3">
      <c r="A177" s="8" t="s">
        <v>279</v>
      </c>
      <c r="B177" s="8" t="s">
        <v>192</v>
      </c>
      <c r="C177" s="8" t="s">
        <v>194</v>
      </c>
      <c r="D177" s="8">
        <v>0</v>
      </c>
      <c r="E177" s="8">
        <v>14.5315248933026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2.00063330542496</v>
      </c>
      <c r="M177" s="8">
        <v>0</v>
      </c>
    </row>
    <row r="178" spans="1:13">
      <c r="A178" s="8" t="s">
        <v>279</v>
      </c>
      <c r="B178" s="8" t="s">
        <v>195</v>
      </c>
      <c r="C178" s="8" t="s">
        <v>196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>
      <c r="A179" s="8" t="s">
        <v>279</v>
      </c>
      <c r="B179" s="8" t="s">
        <v>195</v>
      </c>
      <c r="C179" s="8" t="s">
        <v>197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3">
      <c r="A180" s="8" t="s">
        <v>279</v>
      </c>
      <c r="B180" s="8" t="s">
        <v>198</v>
      </c>
      <c r="C180" s="8" t="s">
        <v>199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3">
      <c r="A181" s="8" t="s">
        <v>279</v>
      </c>
      <c r="B181" s="8" t="s">
        <v>36</v>
      </c>
      <c r="C181" s="8" t="s">
        <v>130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</row>
    <row r="182" spans="1:13">
      <c r="A182" s="8" t="s">
        <v>279</v>
      </c>
      <c r="B182" s="8" t="s">
        <v>200</v>
      </c>
      <c r="C182" s="8" t="s">
        <v>97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</row>
    <row r="183" spans="1:13">
      <c r="A183" s="8" t="s">
        <v>279</v>
      </c>
      <c r="B183" s="8" t="s">
        <v>200</v>
      </c>
      <c r="C183" s="8" t="s">
        <v>98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5.14469786054822</v>
      </c>
      <c r="M183" s="8">
        <v>0</v>
      </c>
    </row>
    <row r="184" spans="1:13">
      <c r="A184" s="8" t="s">
        <v>279</v>
      </c>
      <c r="B184" s="8" t="s">
        <v>200</v>
      </c>
      <c r="C184" s="8" t="s">
        <v>95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</row>
    <row r="185" spans="1:13">
      <c r="A185" s="8" t="s">
        <v>279</v>
      </c>
      <c r="B185" s="8" t="s">
        <v>200</v>
      </c>
      <c r="C185" s="8" t="s">
        <v>93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</row>
    <row r="186" spans="1:13">
      <c r="A186" s="8" t="s">
        <v>279</v>
      </c>
      <c r="B186" s="8" t="s">
        <v>200</v>
      </c>
      <c r="C186" s="8" t="s">
        <v>96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</row>
    <row r="187" spans="1:13">
      <c r="A187" s="8" t="s">
        <v>279</v>
      </c>
      <c r="B187" s="8" t="s">
        <v>200</v>
      </c>
      <c r="C187" s="8" t="s">
        <v>94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</row>
    <row r="188" spans="1:13">
      <c r="A188" s="8" t="s">
        <v>279</v>
      </c>
      <c r="B188" s="8" t="s">
        <v>201</v>
      </c>
      <c r="C188" s="8" t="s">
        <v>202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91" spans="1:13">
      <c r="A191" s="8" t="s">
        <v>280</v>
      </c>
      <c r="B191" s="8" t="s">
        <v>188</v>
      </c>
      <c r="C191" s="8" t="s">
        <v>189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</row>
    <row r="192" spans="1:13">
      <c r="A192" s="8" t="s">
        <v>280</v>
      </c>
      <c r="B192" s="8" t="s">
        <v>190</v>
      </c>
      <c r="C192" s="8" t="s">
        <v>191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2.04842469799384</v>
      </c>
    </row>
    <row r="193" spans="1:13">
      <c r="A193" s="8" t="s">
        <v>280</v>
      </c>
      <c r="B193" s="8" t="s">
        <v>192</v>
      </c>
      <c r="C193" s="8" t="s">
        <v>193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</row>
    <row r="194" spans="1:13">
      <c r="A194" s="8" t="s">
        <v>280</v>
      </c>
      <c r="B194" s="8" t="s">
        <v>192</v>
      </c>
      <c r="C194" s="8" t="s">
        <v>194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</row>
    <row r="195" spans="1:13">
      <c r="A195" s="8" t="s">
        <v>280</v>
      </c>
      <c r="B195" s="8" t="s">
        <v>195</v>
      </c>
      <c r="C195" s="8" t="s">
        <v>196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</row>
    <row r="196" spans="1:13">
      <c r="A196" s="8" t="s">
        <v>280</v>
      </c>
      <c r="B196" s="8" t="s">
        <v>195</v>
      </c>
      <c r="C196" s="8" t="s">
        <v>197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</row>
    <row r="197" spans="1:13">
      <c r="A197" s="8" t="s">
        <v>280</v>
      </c>
      <c r="B197" s="8" t="s">
        <v>198</v>
      </c>
      <c r="C197" s="8" t="s">
        <v>199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</row>
    <row r="198" spans="1:13">
      <c r="A198" s="8" t="s">
        <v>280</v>
      </c>
      <c r="B198" s="8" t="s">
        <v>36</v>
      </c>
      <c r="C198" s="8" t="s">
        <v>130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</row>
    <row r="199" spans="1:13">
      <c r="A199" s="8" t="s">
        <v>280</v>
      </c>
      <c r="B199" s="8" t="s">
        <v>200</v>
      </c>
      <c r="C199" s="8" t="s">
        <v>97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</row>
    <row r="200" spans="1:13">
      <c r="A200" s="8" t="s">
        <v>280</v>
      </c>
      <c r="B200" s="8" t="s">
        <v>200</v>
      </c>
      <c r="C200" s="8" t="s">
        <v>98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</row>
    <row r="201" spans="1:13">
      <c r="A201" s="8" t="s">
        <v>280</v>
      </c>
      <c r="B201" s="8" t="s">
        <v>200</v>
      </c>
      <c r="C201" s="8" t="s">
        <v>95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</row>
    <row r="202" spans="1:13">
      <c r="A202" s="8" t="s">
        <v>280</v>
      </c>
      <c r="B202" s="8" t="s">
        <v>200</v>
      </c>
      <c r="C202" s="8" t="s">
        <v>93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</row>
    <row r="203" spans="1:13">
      <c r="A203" s="8" t="s">
        <v>280</v>
      </c>
      <c r="B203" s="8" t="s">
        <v>200</v>
      </c>
      <c r="C203" s="8" t="s">
        <v>96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</row>
    <row r="204" spans="1:13">
      <c r="A204" s="8" t="s">
        <v>280</v>
      </c>
      <c r="B204" s="8" t="s">
        <v>200</v>
      </c>
      <c r="C204" s="8" t="s">
        <v>94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</row>
    <row r="205" spans="1:13">
      <c r="A205" s="8" t="s">
        <v>280</v>
      </c>
      <c r="B205" s="8" t="s">
        <v>201</v>
      </c>
      <c r="C205" s="8" t="s">
        <v>202</v>
      </c>
      <c r="D205" s="8">
        <v>0</v>
      </c>
      <c r="E205" s="8">
        <v>0</v>
      </c>
      <c r="F205" s="8">
        <v>0</v>
      </c>
      <c r="G205" s="8">
        <v>2.03774780101664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</row>
    <row r="208" spans="1:13">
      <c r="A208" s="8" t="s">
        <v>281</v>
      </c>
      <c r="B208" s="8" t="s">
        <v>188</v>
      </c>
      <c r="C208" s="8" t="s">
        <v>189</v>
      </c>
      <c r="D208" s="8">
        <v>0</v>
      </c>
      <c r="E208" s="8">
        <v>0</v>
      </c>
      <c r="F208" s="8">
        <v>0</v>
      </c>
      <c r="G208" s="8">
        <v>2.29921084490275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</row>
    <row r="209" spans="1:13">
      <c r="A209" s="8" t="s">
        <v>281</v>
      </c>
      <c r="B209" s="8" t="s">
        <v>190</v>
      </c>
      <c r="C209" s="8" t="s">
        <v>191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</row>
    <row r="210" spans="1:13">
      <c r="A210" s="8" t="s">
        <v>281</v>
      </c>
      <c r="B210" s="8" t="s">
        <v>192</v>
      </c>
      <c r="C210" s="8" t="s">
        <v>193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</row>
    <row r="211" spans="1:13">
      <c r="A211" s="8" t="s">
        <v>281</v>
      </c>
      <c r="B211" s="8" t="s">
        <v>192</v>
      </c>
      <c r="C211" s="8" t="s">
        <v>194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5.1603691307686</v>
      </c>
      <c r="M211" s="8">
        <v>0</v>
      </c>
    </row>
    <row r="212" spans="1:13">
      <c r="A212" s="8" t="s">
        <v>281</v>
      </c>
      <c r="B212" s="8" t="s">
        <v>195</v>
      </c>
      <c r="C212" s="8" t="s">
        <v>196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</row>
    <row r="213" spans="1:13">
      <c r="A213" s="8" t="s">
        <v>281</v>
      </c>
      <c r="B213" s="8" t="s">
        <v>195</v>
      </c>
      <c r="C213" s="8" t="s">
        <v>197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</row>
    <row r="214" spans="1:13">
      <c r="A214" s="8" t="s">
        <v>281</v>
      </c>
      <c r="B214" s="8" t="s">
        <v>198</v>
      </c>
      <c r="C214" s="8" t="s">
        <v>199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</row>
    <row r="215" spans="1:13">
      <c r="A215" s="8" t="s">
        <v>281</v>
      </c>
      <c r="B215" s="8" t="s">
        <v>36</v>
      </c>
      <c r="C215" s="8" t="s">
        <v>130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</row>
    <row r="216" spans="1:13">
      <c r="A216" s="8" t="s">
        <v>281</v>
      </c>
      <c r="B216" s="8" t="s">
        <v>200</v>
      </c>
      <c r="C216" s="8" t="s">
        <v>97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</row>
    <row r="217" spans="1:13">
      <c r="A217" s="8" t="s">
        <v>281</v>
      </c>
      <c r="B217" s="8" t="s">
        <v>200</v>
      </c>
      <c r="C217" s="8" t="s">
        <v>98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</row>
    <row r="218" spans="1:13">
      <c r="A218" s="8" t="s">
        <v>281</v>
      </c>
      <c r="B218" s="8" t="s">
        <v>200</v>
      </c>
      <c r="C218" s="8" t="s">
        <v>95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</row>
    <row r="219" spans="1:13">
      <c r="A219" s="8" t="s">
        <v>281</v>
      </c>
      <c r="B219" s="8" t="s">
        <v>200</v>
      </c>
      <c r="C219" s="8" t="s">
        <v>93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spans="1:13">
      <c r="A220" s="8" t="s">
        <v>281</v>
      </c>
      <c r="B220" s="8" t="s">
        <v>200</v>
      </c>
      <c r="C220" s="8" t="s">
        <v>96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spans="1:13">
      <c r="A221" s="8" t="s">
        <v>281</v>
      </c>
      <c r="B221" s="8" t="s">
        <v>200</v>
      </c>
      <c r="C221" s="8" t="s">
        <v>94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spans="1:13">
      <c r="A222" s="8" t="s">
        <v>281</v>
      </c>
      <c r="B222" s="8" t="s">
        <v>201</v>
      </c>
      <c r="C222" s="8" t="s">
        <v>202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23.6486162333034</v>
      </c>
    </row>
    <row r="225" spans="1:13">
      <c r="A225" s="8" t="s">
        <v>282</v>
      </c>
      <c r="B225" s="8" t="s">
        <v>188</v>
      </c>
      <c r="C225" s="8" t="s">
        <v>189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1:13">
      <c r="A226" s="8" t="s">
        <v>282</v>
      </c>
      <c r="B226" s="8" t="s">
        <v>190</v>
      </c>
      <c r="C226" s="8" t="s">
        <v>191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1:13">
      <c r="A227" s="8" t="s">
        <v>282</v>
      </c>
      <c r="B227" s="8" t="s">
        <v>192</v>
      </c>
      <c r="C227" s="8" t="s">
        <v>193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1:13">
      <c r="A228" s="8" t="s">
        <v>282</v>
      </c>
      <c r="B228" s="8" t="s">
        <v>192</v>
      </c>
      <c r="C228" s="8" t="s">
        <v>194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>
      <c r="A229" s="8" t="s">
        <v>282</v>
      </c>
      <c r="B229" s="8" t="s">
        <v>195</v>
      </c>
      <c r="C229" s="8" t="s">
        <v>196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>
      <c r="A230" s="8" t="s">
        <v>282</v>
      </c>
      <c r="B230" s="8" t="s">
        <v>195</v>
      </c>
      <c r="C230" s="8" t="s">
        <v>197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>
      <c r="A231" s="8" t="s">
        <v>282</v>
      </c>
      <c r="B231" s="8" t="s">
        <v>198</v>
      </c>
      <c r="C231" s="8" t="s">
        <v>199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>
      <c r="A232" s="8" t="s">
        <v>282</v>
      </c>
      <c r="B232" s="8" t="s">
        <v>36</v>
      </c>
      <c r="C232" s="8" t="s">
        <v>130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7.99682179624598</v>
      </c>
      <c r="K232" s="8">
        <v>0</v>
      </c>
      <c r="L232" s="8">
        <v>0</v>
      </c>
      <c r="M232" s="8">
        <v>0</v>
      </c>
    </row>
    <row r="233" spans="1:13">
      <c r="A233" s="8" t="s">
        <v>282</v>
      </c>
      <c r="B233" s="8" t="s">
        <v>200</v>
      </c>
      <c r="C233" s="8" t="s">
        <v>97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>
      <c r="A234" s="8" t="s">
        <v>282</v>
      </c>
      <c r="B234" s="8" t="s">
        <v>200</v>
      </c>
      <c r="C234" s="8" t="s">
        <v>98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>
      <c r="A235" s="8" t="s">
        <v>282</v>
      </c>
      <c r="B235" s="8" t="s">
        <v>200</v>
      </c>
      <c r="C235" s="8" t="s">
        <v>95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1:13">
      <c r="A236" s="8" t="s">
        <v>282</v>
      </c>
      <c r="B236" s="8" t="s">
        <v>200</v>
      </c>
      <c r="C236" s="8" t="s">
        <v>93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1:13">
      <c r="A237" s="8" t="s">
        <v>282</v>
      </c>
      <c r="B237" s="8" t="s">
        <v>200</v>
      </c>
      <c r="C237" s="8" t="s">
        <v>96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1:13">
      <c r="A238" s="8" t="s">
        <v>282</v>
      </c>
      <c r="B238" s="8" t="s">
        <v>200</v>
      </c>
      <c r="C238" s="8" t="s">
        <v>94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1:13">
      <c r="A239" s="8" t="s">
        <v>282</v>
      </c>
      <c r="B239" s="8" t="s">
        <v>201</v>
      </c>
      <c r="C239" s="8" t="s">
        <v>202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</row>
  </sheetData>
  <mergeCells count="2">
    <mergeCell ref="D1:H1"/>
    <mergeCell ref="I1:M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9"/>
  <sheetViews>
    <sheetView workbookViewId="0">
      <selection activeCell="A1" sqref="A1"/>
    </sheetView>
  </sheetViews>
  <sheetFormatPr defaultColWidth="8.75454545454545" defaultRowHeight="14"/>
  <cols>
    <col min="1" max="2" width="8.75454545454545" style="11"/>
    <col min="3" max="3" width="23.5" style="11" customWidth="1"/>
    <col min="4" max="5" width="12.8727272727273" style="11"/>
    <col min="6" max="6" width="8.75454545454545" style="11"/>
    <col min="7" max="8" width="12.8727272727273" style="11"/>
    <col min="9" max="11" width="8.75454545454545" style="11"/>
    <col min="12" max="13" width="12.8727272727273" style="11"/>
    <col min="14" max="14" width="8.75454545454545" style="1"/>
  </cols>
  <sheetData>
    <row r="1" spans="1:13">
      <c r="D1" s="2" t="s">
        <v>185</v>
      </c>
      <c r="E1" s="3"/>
      <c r="F1" s="3"/>
      <c r="G1" s="3"/>
      <c r="H1" s="4"/>
      <c r="I1" s="5" t="s">
        <v>186</v>
      </c>
      <c r="J1" s="6"/>
      <c r="K1" s="6"/>
      <c r="L1" s="6"/>
      <c r="M1" s="7"/>
    </row>
    <row r="2" spans="1:13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</row>
    <row r="3" spans="1:13">
      <c r="A3" s="12" t="s">
        <v>283</v>
      </c>
      <c r="B3" s="8" t="s">
        <v>188</v>
      </c>
      <c r="C3" s="8" t="s">
        <v>189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>
      <c r="A4" s="12" t="s">
        <v>283</v>
      </c>
      <c r="B4" s="8" t="s">
        <v>190</v>
      </c>
      <c r="C4" s="8" t="s">
        <v>191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1.52419987183621</v>
      </c>
      <c r="M4" s="8">
        <v>0</v>
      </c>
    </row>
    <row r="5" spans="1:13">
      <c r="A5" s="12" t="s">
        <v>283</v>
      </c>
      <c r="B5" s="8" t="s">
        <v>192</v>
      </c>
      <c r="C5" s="8" t="s">
        <v>193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>
      <c r="A6" s="12" t="s">
        <v>283</v>
      </c>
      <c r="B6" s="8" t="s">
        <v>192</v>
      </c>
      <c r="C6" s="8" t="s">
        <v>194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>
      <c r="A7" s="12" t="s">
        <v>283</v>
      </c>
      <c r="B7" s="8" t="s">
        <v>195</v>
      </c>
      <c r="C7" s="8" t="s">
        <v>196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>
      <c r="A8" s="12" t="s">
        <v>283</v>
      </c>
      <c r="B8" s="8" t="s">
        <v>195</v>
      </c>
      <c r="C8" s="8" t="s">
        <v>197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>
      <c r="A9" s="12" t="s">
        <v>283</v>
      </c>
      <c r="B9" s="8" t="s">
        <v>198</v>
      </c>
      <c r="C9" s="8" t="s">
        <v>199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>
      <c r="A10" s="12" t="s">
        <v>283</v>
      </c>
      <c r="B10" s="8" t="s">
        <v>36</v>
      </c>
      <c r="C10" s="8" t="s">
        <v>130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>
      <c r="A11" s="12" t="s">
        <v>283</v>
      </c>
      <c r="B11" s="8" t="s">
        <v>200</v>
      </c>
      <c r="C11" s="8" t="s">
        <v>97</v>
      </c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>
      <c r="A12" s="12" t="s">
        <v>283</v>
      </c>
      <c r="B12" s="8" t="s">
        <v>200</v>
      </c>
      <c r="C12" s="8" t="s">
        <v>98</v>
      </c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>
      <c r="A13" s="12" t="s">
        <v>283</v>
      </c>
      <c r="B13" s="8" t="s">
        <v>200</v>
      </c>
      <c r="C13" s="8" t="s">
        <v>95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>
      <c r="A14" s="12" t="s">
        <v>283</v>
      </c>
      <c r="B14" s="8" t="s">
        <v>200</v>
      </c>
      <c r="C14" s="8" t="s">
        <v>93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>
      <c r="A15" s="12" t="s">
        <v>283</v>
      </c>
      <c r="B15" s="8" t="s">
        <v>200</v>
      </c>
      <c r="C15" s="8" t="s">
        <v>96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A16" s="12" t="s">
        <v>283</v>
      </c>
      <c r="B16" s="8" t="s">
        <v>200</v>
      </c>
      <c r="C16" s="8" t="s">
        <v>94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12" t="s">
        <v>283</v>
      </c>
      <c r="B17" s="8" t="s">
        <v>201</v>
      </c>
      <c r="C17" s="8" t="s">
        <v>202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>
      <c r="A18" s="12" t="s">
        <v>284</v>
      </c>
      <c r="B18" s="8" t="s">
        <v>188</v>
      </c>
      <c r="C18" s="8" t="s">
        <v>189</v>
      </c>
      <c r="D18" s="8">
        <v>0</v>
      </c>
      <c r="E18" s="8">
        <v>0</v>
      </c>
      <c r="F18" s="8">
        <v>0</v>
      </c>
      <c r="G18" s="8">
        <v>7.34637156222129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1:13">
      <c r="A19" s="12" t="s">
        <v>284</v>
      </c>
      <c r="B19" s="8" t="s">
        <v>190</v>
      </c>
      <c r="C19" s="8" t="s">
        <v>191</v>
      </c>
      <c r="D19" s="8">
        <v>0</v>
      </c>
      <c r="E19" s="8">
        <v>0</v>
      </c>
      <c r="F19" s="8">
        <v>0</v>
      </c>
      <c r="G19" s="8">
        <v>2.90651504303958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>
      <c r="A20" s="12" t="s">
        <v>284</v>
      </c>
      <c r="B20" s="8" t="s">
        <v>192</v>
      </c>
      <c r="C20" s="8" t="s">
        <v>193</v>
      </c>
      <c r="D20" s="8">
        <v>0</v>
      </c>
      <c r="E20" s="8">
        <v>0</v>
      </c>
      <c r="F20" s="8">
        <v>0</v>
      </c>
      <c r="G20" s="8">
        <v>13.0034682477124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>
      <c r="A21" s="12" t="s">
        <v>284</v>
      </c>
      <c r="B21" s="8" t="s">
        <v>192</v>
      </c>
      <c r="C21" s="8" t="s">
        <v>194</v>
      </c>
      <c r="D21" s="8">
        <v>0</v>
      </c>
      <c r="E21" s="8">
        <v>0</v>
      </c>
      <c r="F21" s="8">
        <v>0</v>
      </c>
      <c r="G21" s="8">
        <v>2.66591989864092</v>
      </c>
      <c r="H21" s="8">
        <v>0</v>
      </c>
      <c r="I21" s="8">
        <v>0</v>
      </c>
      <c r="J21" s="8">
        <v>0</v>
      </c>
      <c r="K21" s="8">
        <v>0</v>
      </c>
      <c r="L21" s="8">
        <v>9.16964005405332</v>
      </c>
      <c r="M21" s="8">
        <v>0</v>
      </c>
    </row>
    <row r="22" spans="1:13">
      <c r="A22" s="12" t="s">
        <v>284</v>
      </c>
      <c r="B22" s="8" t="s">
        <v>195</v>
      </c>
      <c r="C22" s="8" t="s">
        <v>196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>
      <c r="A23" s="12" t="s">
        <v>284</v>
      </c>
      <c r="B23" s="8" t="s">
        <v>195</v>
      </c>
      <c r="C23" s="8" t="s">
        <v>197</v>
      </c>
      <c r="D23" s="8">
        <v>0</v>
      </c>
      <c r="E23" s="8">
        <v>0</v>
      </c>
      <c r="F23" s="8">
        <v>0</v>
      </c>
      <c r="G23" s="8">
        <v>1.07310296502449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1:13">
      <c r="A24" s="12" t="s">
        <v>284</v>
      </c>
      <c r="B24" s="8" t="s">
        <v>198</v>
      </c>
      <c r="C24" s="8" t="s">
        <v>199</v>
      </c>
      <c r="D24" s="8">
        <v>0</v>
      </c>
      <c r="E24" s="8">
        <v>0</v>
      </c>
      <c r="F24" s="8">
        <v>0</v>
      </c>
      <c r="G24" s="8">
        <v>9.71380225860577</v>
      </c>
      <c r="H24" s="8">
        <v>11.4193930818211</v>
      </c>
      <c r="I24" s="8">
        <v>0</v>
      </c>
      <c r="J24" s="8">
        <v>0</v>
      </c>
      <c r="K24" s="8">
        <v>0</v>
      </c>
      <c r="L24" s="8">
        <v>12.0676848010851</v>
      </c>
      <c r="M24" s="8">
        <v>0</v>
      </c>
    </row>
    <row r="25" spans="1:13">
      <c r="A25" s="12" t="s">
        <v>284</v>
      </c>
      <c r="B25" s="8" t="s">
        <v>36</v>
      </c>
      <c r="C25" s="8" t="s">
        <v>130</v>
      </c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12" t="s">
        <v>284</v>
      </c>
      <c r="B26" s="8" t="s">
        <v>200</v>
      </c>
      <c r="C26" s="8" t="s">
        <v>97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12" t="s">
        <v>284</v>
      </c>
      <c r="B27" s="8" t="s">
        <v>200</v>
      </c>
      <c r="C27" s="8" t="s">
        <v>98</v>
      </c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12" t="s">
        <v>284</v>
      </c>
      <c r="B28" s="8" t="s">
        <v>200</v>
      </c>
      <c r="C28" s="8" t="s">
        <v>95</v>
      </c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12" t="s">
        <v>284</v>
      </c>
      <c r="B29" s="8" t="s">
        <v>200</v>
      </c>
      <c r="C29" s="8" t="s">
        <v>93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12" t="s">
        <v>284</v>
      </c>
      <c r="B30" s="8" t="s">
        <v>200</v>
      </c>
      <c r="C30" s="8" t="s">
        <v>96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12" t="s">
        <v>284</v>
      </c>
      <c r="B31" s="8" t="s">
        <v>200</v>
      </c>
      <c r="C31" s="8" t="s">
        <v>94</v>
      </c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12" t="s">
        <v>284</v>
      </c>
      <c r="B32" s="8" t="s">
        <v>201</v>
      </c>
      <c r="C32" s="8" t="s">
        <v>202</v>
      </c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12" t="s">
        <v>285</v>
      </c>
      <c r="B33" s="8" t="s">
        <v>188</v>
      </c>
      <c r="C33" s="8" t="s">
        <v>189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  <row r="34" spans="1:13">
      <c r="A34" s="12" t="s">
        <v>285</v>
      </c>
      <c r="B34" s="8" t="s">
        <v>190</v>
      </c>
      <c r="C34" s="8" t="s">
        <v>191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</row>
    <row r="35" spans="1:13">
      <c r="A35" s="12" t="s">
        <v>285</v>
      </c>
      <c r="B35" s="8" t="s">
        <v>192</v>
      </c>
      <c r="C35" s="8" t="s">
        <v>193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</row>
    <row r="36" spans="1:13">
      <c r="A36" s="12" t="s">
        <v>285</v>
      </c>
      <c r="B36" s="8" t="s">
        <v>192</v>
      </c>
      <c r="C36" s="8" t="s">
        <v>194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</row>
    <row r="37" spans="1:13">
      <c r="A37" s="12" t="s">
        <v>285</v>
      </c>
      <c r="B37" s="8" t="s">
        <v>195</v>
      </c>
      <c r="C37" s="8" t="s">
        <v>196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</row>
    <row r="38" spans="1:13">
      <c r="A38" s="12" t="s">
        <v>285</v>
      </c>
      <c r="B38" s="8" t="s">
        <v>195</v>
      </c>
      <c r="C38" s="8" t="s">
        <v>197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</row>
    <row r="39" spans="1:13">
      <c r="A39" s="12" t="s">
        <v>285</v>
      </c>
      <c r="B39" s="8" t="s">
        <v>198</v>
      </c>
      <c r="C39" s="8" t="s">
        <v>199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</row>
    <row r="40" spans="1:13">
      <c r="A40" s="12" t="s">
        <v>285</v>
      </c>
      <c r="B40" s="8" t="s">
        <v>36</v>
      </c>
      <c r="C40" s="8" t="s">
        <v>130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>
      <c r="A41" s="12" t="s">
        <v>285</v>
      </c>
      <c r="B41" s="8" t="s">
        <v>200</v>
      </c>
      <c r="C41" s="8" t="s">
        <v>97</v>
      </c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>
      <c r="A42" s="12" t="s">
        <v>285</v>
      </c>
      <c r="B42" s="8" t="s">
        <v>200</v>
      </c>
      <c r="C42" s="8" t="s">
        <v>98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12" t="s">
        <v>285</v>
      </c>
      <c r="B43" s="8" t="s">
        <v>200</v>
      </c>
      <c r="C43" s="8" t="s">
        <v>95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>
      <c r="A44" s="12" t="s">
        <v>285</v>
      </c>
      <c r="B44" s="8" t="s">
        <v>200</v>
      </c>
      <c r="C44" s="8" t="s">
        <v>93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>
      <c r="A45" s="12" t="s">
        <v>285</v>
      </c>
      <c r="B45" s="8" t="s">
        <v>200</v>
      </c>
      <c r="C45" s="8" t="s">
        <v>96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>
      <c r="A46" s="12" t="s">
        <v>285</v>
      </c>
      <c r="B46" s="8" t="s">
        <v>200</v>
      </c>
      <c r="C46" s="8" t="s">
        <v>94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>
      <c r="A47" s="12" t="s">
        <v>285</v>
      </c>
      <c r="B47" s="8" t="s">
        <v>201</v>
      </c>
      <c r="C47" s="8" t="s">
        <v>202</v>
      </c>
      <c r="D47" s="8"/>
      <c r="E47" s="8"/>
      <c r="F47" s="8"/>
      <c r="G47" s="8"/>
      <c r="H47" s="8"/>
      <c r="I47" s="8"/>
      <c r="J47" s="8"/>
      <c r="K47" s="8"/>
      <c r="L47" s="8"/>
      <c r="M47" s="8"/>
    </row>
    <row r="51" spans="1:13">
      <c r="A51" s="12" t="s">
        <v>286</v>
      </c>
      <c r="B51" s="8" t="s">
        <v>188</v>
      </c>
      <c r="C51" s="8" t="s">
        <v>189</v>
      </c>
      <c r="D51" s="8">
        <v>0</v>
      </c>
      <c r="E51" s="8">
        <v>0</v>
      </c>
      <c r="F51" s="8">
        <v>0</v>
      </c>
      <c r="G51" s="8">
        <v>5.09923153536695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</row>
    <row r="52" spans="1:13">
      <c r="A52" s="12" t="s">
        <v>286</v>
      </c>
      <c r="B52" s="8" t="s">
        <v>190</v>
      </c>
      <c r="C52" s="8" t="s">
        <v>191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</row>
    <row r="53" spans="1:13">
      <c r="A53" s="12" t="s">
        <v>286</v>
      </c>
      <c r="B53" s="8" t="s">
        <v>192</v>
      </c>
      <c r="C53" s="8" t="s">
        <v>193</v>
      </c>
      <c r="D53" s="8">
        <v>0</v>
      </c>
      <c r="E53" s="8">
        <v>0</v>
      </c>
      <c r="F53" s="8">
        <v>0</v>
      </c>
      <c r="G53" s="8">
        <v>3.53493018121013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</row>
    <row r="54" spans="1:13">
      <c r="A54" s="12" t="s">
        <v>286</v>
      </c>
      <c r="B54" s="8" t="s">
        <v>192</v>
      </c>
      <c r="C54" s="8" t="s">
        <v>194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>
      <c r="A55" s="12" t="s">
        <v>286</v>
      </c>
      <c r="B55" s="8" t="s">
        <v>195</v>
      </c>
      <c r="C55" s="8" t="s">
        <v>196</v>
      </c>
      <c r="D55" s="8">
        <v>0</v>
      </c>
      <c r="E55" s="8">
        <v>0</v>
      </c>
      <c r="F55" s="8">
        <v>0</v>
      </c>
      <c r="G55" s="8">
        <v>0.0420822652329311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1:13">
      <c r="A56" s="12" t="s">
        <v>286</v>
      </c>
      <c r="B56" s="8" t="s">
        <v>195</v>
      </c>
      <c r="C56" s="8" t="s">
        <v>197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0.85454009395943</v>
      </c>
    </row>
    <row r="57" spans="1:13">
      <c r="A57" s="12" t="s">
        <v>286</v>
      </c>
      <c r="B57" s="8" t="s">
        <v>198</v>
      </c>
      <c r="C57" s="8" t="s">
        <v>199</v>
      </c>
      <c r="D57" s="8">
        <v>0</v>
      </c>
      <c r="E57" s="8">
        <v>0</v>
      </c>
      <c r="F57" s="8">
        <v>0</v>
      </c>
      <c r="G57" s="8">
        <v>4.60123467354985</v>
      </c>
      <c r="H57" s="8">
        <v>0</v>
      </c>
      <c r="I57" s="8">
        <v>0</v>
      </c>
      <c r="J57" s="8">
        <v>0</v>
      </c>
      <c r="K57" s="8">
        <v>0</v>
      </c>
      <c r="L57" s="8">
        <v>1.33465801273916</v>
      </c>
      <c r="M57" s="8">
        <v>3.96281373020538</v>
      </c>
    </row>
    <row r="58" spans="1:13">
      <c r="A58" s="12" t="s">
        <v>286</v>
      </c>
      <c r="B58" s="8" t="s">
        <v>36</v>
      </c>
      <c r="C58" s="8" t="s">
        <v>130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>
      <c r="A59" s="12" t="s">
        <v>286</v>
      </c>
      <c r="B59" s="8" t="s">
        <v>200</v>
      </c>
      <c r="C59" s="8" t="s">
        <v>97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>
      <c r="A60" s="12" t="s">
        <v>286</v>
      </c>
      <c r="B60" s="8" t="s">
        <v>200</v>
      </c>
      <c r="C60" s="8" t="s">
        <v>98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>
      <c r="A61" s="12" t="s">
        <v>286</v>
      </c>
      <c r="B61" s="8" t="s">
        <v>200</v>
      </c>
      <c r="C61" s="8" t="s">
        <v>95</v>
      </c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>
      <c r="A62" s="12" t="s">
        <v>286</v>
      </c>
      <c r="B62" s="8" t="s">
        <v>200</v>
      </c>
      <c r="C62" s="8" t="s">
        <v>93</v>
      </c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>
      <c r="A63" s="12" t="s">
        <v>286</v>
      </c>
      <c r="B63" s="8" t="s">
        <v>200</v>
      </c>
      <c r="C63" s="8" t="s">
        <v>96</v>
      </c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>
      <c r="A64" s="12" t="s">
        <v>286</v>
      </c>
      <c r="B64" s="8" t="s">
        <v>200</v>
      </c>
      <c r="C64" s="8" t="s">
        <v>94</v>
      </c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>
      <c r="A65" s="12" t="s">
        <v>286</v>
      </c>
      <c r="B65" s="8" t="s">
        <v>201</v>
      </c>
      <c r="C65" s="8" t="s">
        <v>202</v>
      </c>
      <c r="D65" s="8"/>
      <c r="E65" s="8"/>
      <c r="F65" s="8"/>
      <c r="G65" s="8"/>
      <c r="H65" s="8"/>
      <c r="I65" s="8"/>
      <c r="J65" s="8"/>
      <c r="K65" s="8"/>
      <c r="L65" s="8"/>
      <c r="M65" s="8"/>
    </row>
    <row r="68" spans="1:13">
      <c r="A68" s="8" t="s">
        <v>287</v>
      </c>
      <c r="B68" s="8" t="s">
        <v>188</v>
      </c>
      <c r="C68" s="8" t="s">
        <v>189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</row>
    <row r="69" spans="1:13">
      <c r="A69" s="8" t="s">
        <v>287</v>
      </c>
      <c r="B69" s="8" t="s">
        <v>190</v>
      </c>
      <c r="C69" s="8" t="s">
        <v>191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</row>
    <row r="70" spans="1:13">
      <c r="A70" s="8" t="s">
        <v>287</v>
      </c>
      <c r="B70" s="8" t="s">
        <v>192</v>
      </c>
      <c r="C70" s="8" t="s">
        <v>193</v>
      </c>
      <c r="D70" s="8">
        <v>0</v>
      </c>
      <c r="E70" s="8">
        <v>1.45518690982301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</row>
    <row r="71" spans="1:13">
      <c r="A71" s="8" t="s">
        <v>287</v>
      </c>
      <c r="B71" s="8" t="s">
        <v>192</v>
      </c>
      <c r="C71" s="8" t="s">
        <v>194</v>
      </c>
      <c r="D71" s="8">
        <v>0</v>
      </c>
      <c r="E71" s="8">
        <v>23.2828941975046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</row>
    <row r="72" spans="1:13">
      <c r="A72" s="8" t="s">
        <v>287</v>
      </c>
      <c r="B72" s="8" t="s">
        <v>195</v>
      </c>
      <c r="C72" s="8" t="s">
        <v>196</v>
      </c>
      <c r="D72" s="8">
        <v>0</v>
      </c>
      <c r="E72" s="8">
        <v>0</v>
      </c>
      <c r="F72" s="8">
        <v>0</v>
      </c>
      <c r="G72" s="8">
        <v>4.01080978196663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</row>
    <row r="73" spans="1:13">
      <c r="A73" s="8" t="s">
        <v>287</v>
      </c>
      <c r="B73" s="8" t="s">
        <v>195</v>
      </c>
      <c r="C73" s="8" t="s">
        <v>197</v>
      </c>
      <c r="D73" s="8">
        <v>0</v>
      </c>
      <c r="E73" s="8">
        <v>0</v>
      </c>
      <c r="F73" s="8">
        <v>0</v>
      </c>
      <c r="G73" s="8">
        <v>2.82855208414234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</row>
    <row r="74" spans="1:13">
      <c r="A74" s="8" t="s">
        <v>287</v>
      </c>
      <c r="B74" s="8" t="s">
        <v>198</v>
      </c>
      <c r="C74" s="8" t="s">
        <v>199</v>
      </c>
      <c r="D74" s="8">
        <v>0</v>
      </c>
      <c r="E74" s="8">
        <v>5.37715674550791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</row>
    <row r="75" spans="1:13">
      <c r="A75" s="8" t="s">
        <v>287</v>
      </c>
      <c r="B75" s="8" t="s">
        <v>36</v>
      </c>
      <c r="C75" s="8" t="s">
        <v>130</v>
      </c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>
      <c r="A76" s="8" t="s">
        <v>287</v>
      </c>
      <c r="B76" s="8" t="s">
        <v>200</v>
      </c>
      <c r="C76" s="8" t="s">
        <v>97</v>
      </c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>
      <c r="A77" s="8" t="s">
        <v>287</v>
      </c>
      <c r="B77" s="8" t="s">
        <v>200</v>
      </c>
      <c r="C77" s="8" t="s">
        <v>98</v>
      </c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>
      <c r="A78" s="8" t="s">
        <v>287</v>
      </c>
      <c r="B78" s="8" t="s">
        <v>200</v>
      </c>
      <c r="C78" s="8" t="s">
        <v>95</v>
      </c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>
      <c r="A79" s="8" t="s">
        <v>287</v>
      </c>
      <c r="B79" s="8" t="s">
        <v>200</v>
      </c>
      <c r="C79" s="8" t="s">
        <v>93</v>
      </c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>
      <c r="A80" s="8" t="s">
        <v>287</v>
      </c>
      <c r="B80" s="8" t="s">
        <v>200</v>
      </c>
      <c r="C80" s="8" t="s">
        <v>96</v>
      </c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>
      <c r="A81" s="8" t="s">
        <v>287</v>
      </c>
      <c r="B81" s="8" t="s">
        <v>200</v>
      </c>
      <c r="C81" s="8" t="s">
        <v>94</v>
      </c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>
      <c r="A82" s="8" t="s">
        <v>287</v>
      </c>
      <c r="B82" s="8" t="s">
        <v>201</v>
      </c>
      <c r="C82" s="8" t="s">
        <v>202</v>
      </c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>
      <c r="A83" s="12" t="s">
        <v>288</v>
      </c>
      <c r="B83" s="8" t="s">
        <v>188</v>
      </c>
      <c r="C83" s="8" t="s">
        <v>189</v>
      </c>
      <c r="D83" s="8">
        <v>0</v>
      </c>
      <c r="E83" s="8">
        <v>8.73110997560256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</row>
    <row r="84" spans="1:13">
      <c r="A84" s="12" t="s">
        <v>288</v>
      </c>
      <c r="B84" s="8" t="s">
        <v>190</v>
      </c>
      <c r="C84" s="8" t="s">
        <v>191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</row>
    <row r="85" spans="1:13">
      <c r="A85" s="12" t="s">
        <v>288</v>
      </c>
      <c r="B85" s="8" t="s">
        <v>192</v>
      </c>
      <c r="C85" s="8" t="s">
        <v>193</v>
      </c>
      <c r="D85" s="8">
        <v>0</v>
      </c>
      <c r="E85" s="8">
        <v>0</v>
      </c>
      <c r="F85" s="8">
        <v>0</v>
      </c>
      <c r="G85" s="8">
        <v>2.20134399984095</v>
      </c>
      <c r="H85" s="8">
        <v>0</v>
      </c>
      <c r="I85" s="8">
        <v>0</v>
      </c>
      <c r="J85" s="8">
        <v>0</v>
      </c>
      <c r="K85" s="8">
        <v>0</v>
      </c>
      <c r="L85" s="8">
        <v>3.4726797807159</v>
      </c>
      <c r="M85" s="8">
        <v>0</v>
      </c>
    </row>
    <row r="86" spans="1:13">
      <c r="A86" s="12" t="s">
        <v>288</v>
      </c>
      <c r="B86" s="8" t="s">
        <v>192</v>
      </c>
      <c r="C86" s="8" t="s">
        <v>194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</row>
    <row r="87" spans="1:13">
      <c r="A87" s="12" t="s">
        <v>288</v>
      </c>
      <c r="B87" s="8" t="s">
        <v>195</v>
      </c>
      <c r="C87" s="8" t="s">
        <v>196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1.12856219668267</v>
      </c>
      <c r="M87" s="8">
        <v>0</v>
      </c>
    </row>
    <row r="88" spans="1:13">
      <c r="A88" s="12" t="s">
        <v>288</v>
      </c>
      <c r="B88" s="8" t="s">
        <v>195</v>
      </c>
      <c r="C88" s="8" t="s">
        <v>197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</row>
    <row r="89" spans="1:13">
      <c r="A89" s="12" t="s">
        <v>288</v>
      </c>
      <c r="B89" s="8" t="s">
        <v>198</v>
      </c>
      <c r="C89" s="8" t="s">
        <v>199</v>
      </c>
      <c r="D89" s="8">
        <v>12.2281698562425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</row>
    <row r="90" spans="1:13">
      <c r="A90" s="12" t="s">
        <v>288</v>
      </c>
      <c r="B90" s="8" t="s">
        <v>36</v>
      </c>
      <c r="C90" s="8" t="s">
        <v>130</v>
      </c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>
      <c r="A91" s="12" t="s">
        <v>288</v>
      </c>
      <c r="B91" s="8" t="s">
        <v>200</v>
      </c>
      <c r="C91" s="8" t="s">
        <v>97</v>
      </c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>
      <c r="A92" s="12" t="s">
        <v>288</v>
      </c>
      <c r="B92" s="8" t="s">
        <v>200</v>
      </c>
      <c r="C92" s="8" t="s">
        <v>98</v>
      </c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>
      <c r="A93" s="12" t="s">
        <v>288</v>
      </c>
      <c r="B93" s="8" t="s">
        <v>200</v>
      </c>
      <c r="C93" s="8" t="s">
        <v>95</v>
      </c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>
      <c r="A94" s="12" t="s">
        <v>288</v>
      </c>
      <c r="B94" s="8" t="s">
        <v>200</v>
      </c>
      <c r="C94" s="8" t="s">
        <v>93</v>
      </c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>
      <c r="A95" s="12" t="s">
        <v>288</v>
      </c>
      <c r="B95" s="8" t="s">
        <v>200</v>
      </c>
      <c r="C95" s="8" t="s">
        <v>96</v>
      </c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>
      <c r="A96" s="12" t="s">
        <v>288</v>
      </c>
      <c r="B96" s="8" t="s">
        <v>200</v>
      </c>
      <c r="C96" s="8" t="s">
        <v>94</v>
      </c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3">
      <c r="A97" s="12" t="s">
        <v>288</v>
      </c>
      <c r="B97" s="8" t="s">
        <v>201</v>
      </c>
      <c r="C97" s="8" t="s">
        <v>202</v>
      </c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>
      <c r="A98" s="12" t="s">
        <v>289</v>
      </c>
      <c r="B98" s="8" t="s">
        <v>188</v>
      </c>
      <c r="C98" s="8" t="s">
        <v>189</v>
      </c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3">
      <c r="A99" s="12" t="s">
        <v>289</v>
      </c>
      <c r="B99" s="8" t="s">
        <v>190</v>
      </c>
      <c r="C99" s="8" t="s">
        <v>191</v>
      </c>
      <c r="D99" s="8">
        <v>0</v>
      </c>
      <c r="E99" s="8">
        <v>20.1997074223378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</row>
    <row r="100" spans="1:13">
      <c r="A100" s="12" t="s">
        <v>289</v>
      </c>
      <c r="B100" s="8" t="s">
        <v>192</v>
      </c>
      <c r="C100" s="8" t="s">
        <v>193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</row>
    <row r="101" spans="1:13">
      <c r="A101" s="12" t="s">
        <v>289</v>
      </c>
      <c r="B101" s="8" t="s">
        <v>192</v>
      </c>
      <c r="C101" s="8" t="s">
        <v>194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</row>
    <row r="102" spans="1:13">
      <c r="A102" s="12" t="s">
        <v>289</v>
      </c>
      <c r="B102" s="8" t="s">
        <v>195</v>
      </c>
      <c r="C102" s="8" t="s">
        <v>196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</row>
    <row r="103" spans="1:13">
      <c r="A103" s="12" t="s">
        <v>289</v>
      </c>
      <c r="B103" s="8" t="s">
        <v>195</v>
      </c>
      <c r="C103" s="8" t="s">
        <v>197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</row>
    <row r="104" spans="1:13">
      <c r="A104" s="12" t="s">
        <v>289</v>
      </c>
      <c r="B104" s="8" t="s">
        <v>198</v>
      </c>
      <c r="C104" s="8" t="s">
        <v>199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</row>
    <row r="105" spans="1:13">
      <c r="A105" s="12" t="s">
        <v>289</v>
      </c>
      <c r="B105" s="8" t="s">
        <v>36</v>
      </c>
      <c r="C105" s="8" t="s">
        <v>130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3">
      <c r="A106" s="12" t="s">
        <v>289</v>
      </c>
      <c r="B106" s="8" t="s">
        <v>200</v>
      </c>
      <c r="C106" s="8" t="s">
        <v>97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3">
      <c r="A107" s="12" t="s">
        <v>289</v>
      </c>
      <c r="B107" s="8" t="s">
        <v>200</v>
      </c>
      <c r="C107" s="8" t="s">
        <v>98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>
      <c r="A108" s="12" t="s">
        <v>289</v>
      </c>
      <c r="B108" s="8" t="s">
        <v>200</v>
      </c>
      <c r="C108" s="8" t="s">
        <v>95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>
      <c r="A109" s="12" t="s">
        <v>289</v>
      </c>
      <c r="B109" s="8" t="s">
        <v>200</v>
      </c>
      <c r="C109" s="8" t="s">
        <v>93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>
      <c r="A110" s="12" t="s">
        <v>289</v>
      </c>
      <c r="B110" s="8" t="s">
        <v>200</v>
      </c>
      <c r="C110" s="8" t="s">
        <v>96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>
      <c r="A111" s="12" t="s">
        <v>289</v>
      </c>
      <c r="B111" s="8" t="s">
        <v>200</v>
      </c>
      <c r="C111" s="8" t="s">
        <v>94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>
      <c r="A112" s="12" t="s">
        <v>289</v>
      </c>
      <c r="B112" s="8" t="s">
        <v>201</v>
      </c>
      <c r="C112" s="8" t="s">
        <v>202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5" spans="1:13">
      <c r="A115" s="12" t="s">
        <v>290</v>
      </c>
      <c r="B115" s="8" t="s">
        <v>188</v>
      </c>
      <c r="C115" s="8" t="s">
        <v>189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</row>
    <row r="116" spans="1:13">
      <c r="A116" s="12" t="s">
        <v>290</v>
      </c>
      <c r="B116" s="8" t="s">
        <v>190</v>
      </c>
      <c r="C116" s="8" t="s">
        <v>191</v>
      </c>
      <c r="D116" s="8">
        <v>0</v>
      </c>
      <c r="E116" s="8">
        <v>12.1518703488764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</row>
    <row r="117" spans="1:13">
      <c r="A117" s="12" t="s">
        <v>290</v>
      </c>
      <c r="B117" s="8" t="s">
        <v>192</v>
      </c>
      <c r="C117" s="8" t="s">
        <v>193</v>
      </c>
      <c r="D117" s="8">
        <v>0</v>
      </c>
      <c r="E117" s="8">
        <v>0</v>
      </c>
      <c r="F117" s="8">
        <v>0</v>
      </c>
      <c r="G117" s="8">
        <v>10.5518321436726</v>
      </c>
      <c r="H117" s="8">
        <v>0</v>
      </c>
      <c r="I117" s="8">
        <v>0</v>
      </c>
      <c r="J117" s="8">
        <v>0</v>
      </c>
      <c r="K117" s="8">
        <v>0</v>
      </c>
      <c r="L117" s="8">
        <v>3.48023524134053</v>
      </c>
      <c r="M117" s="8">
        <v>0</v>
      </c>
    </row>
    <row r="118" spans="1:13">
      <c r="A118" s="12" t="s">
        <v>290</v>
      </c>
      <c r="B118" s="8" t="s">
        <v>192</v>
      </c>
      <c r="C118" s="8" t="s">
        <v>194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>
      <c r="A119" s="12" t="s">
        <v>290</v>
      </c>
      <c r="B119" s="8" t="s">
        <v>195</v>
      </c>
      <c r="C119" s="8" t="s">
        <v>196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</row>
    <row r="120" spans="1:13">
      <c r="A120" s="12" t="s">
        <v>290</v>
      </c>
      <c r="B120" s="8" t="s">
        <v>195</v>
      </c>
      <c r="C120" s="8" t="s">
        <v>197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</row>
    <row r="121" spans="1:13">
      <c r="A121" s="12" t="s">
        <v>290</v>
      </c>
      <c r="B121" s="8" t="s">
        <v>198</v>
      </c>
      <c r="C121" s="8" t="s">
        <v>199</v>
      </c>
      <c r="D121" s="8">
        <v>0</v>
      </c>
      <c r="E121" s="8">
        <v>0</v>
      </c>
      <c r="F121" s="8">
        <v>0</v>
      </c>
      <c r="G121" s="8">
        <v>7.41945345672774</v>
      </c>
      <c r="H121" s="8">
        <v>0</v>
      </c>
      <c r="I121" s="8">
        <v>0</v>
      </c>
      <c r="J121" s="8">
        <v>0</v>
      </c>
      <c r="K121" s="8">
        <v>0</v>
      </c>
      <c r="L121" s="8">
        <v>3.66779820346773</v>
      </c>
      <c r="M121" s="8">
        <v>0</v>
      </c>
    </row>
    <row r="122" spans="1:13">
      <c r="A122" s="12" t="s">
        <v>290</v>
      </c>
      <c r="B122" s="8" t="s">
        <v>36</v>
      </c>
      <c r="C122" s="8" t="s">
        <v>130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3">
      <c r="A123" s="12" t="s">
        <v>290</v>
      </c>
      <c r="B123" s="8" t="s">
        <v>200</v>
      </c>
      <c r="C123" s="8" t="s">
        <v>97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3">
      <c r="A124" s="12" t="s">
        <v>290</v>
      </c>
      <c r="B124" s="8" t="s">
        <v>200</v>
      </c>
      <c r="C124" s="8" t="s">
        <v>98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>
      <c r="A125" s="12" t="s">
        <v>290</v>
      </c>
      <c r="B125" s="8" t="s">
        <v>200</v>
      </c>
      <c r="C125" s="8" t="s">
        <v>95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>
      <c r="A126" s="12" t="s">
        <v>290</v>
      </c>
      <c r="B126" s="8" t="s">
        <v>200</v>
      </c>
      <c r="C126" s="8" t="s">
        <v>93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>
      <c r="A127" s="12" t="s">
        <v>290</v>
      </c>
      <c r="B127" s="8" t="s">
        <v>200</v>
      </c>
      <c r="C127" s="8" t="s">
        <v>96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3">
      <c r="A128" s="12" t="s">
        <v>290</v>
      </c>
      <c r="B128" s="8" t="s">
        <v>200</v>
      </c>
      <c r="C128" s="8" t="s">
        <v>94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>
      <c r="A129" s="12" t="s">
        <v>290</v>
      </c>
      <c r="B129" s="8" t="s">
        <v>201</v>
      </c>
      <c r="C129" s="8" t="s">
        <v>202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>
      <c r="A130" s="12" t="s">
        <v>291</v>
      </c>
      <c r="B130" s="8" t="s">
        <v>188</v>
      </c>
      <c r="C130" s="8" t="s">
        <v>189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</row>
    <row r="131" spans="1:13">
      <c r="A131" s="12" t="s">
        <v>291</v>
      </c>
      <c r="B131" s="8" t="s">
        <v>190</v>
      </c>
      <c r="C131" s="8" t="s">
        <v>191</v>
      </c>
      <c r="D131" s="8">
        <v>0</v>
      </c>
      <c r="E131" s="8">
        <v>9.01525399444681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</row>
    <row r="132" spans="1:13">
      <c r="A132" s="12" t="s">
        <v>291</v>
      </c>
      <c r="B132" s="8" t="s">
        <v>192</v>
      </c>
      <c r="C132" s="8" t="s">
        <v>193</v>
      </c>
      <c r="D132" s="8">
        <v>0</v>
      </c>
      <c r="E132" s="8">
        <v>0</v>
      </c>
      <c r="F132" s="8">
        <v>0</v>
      </c>
      <c r="G132" s="8">
        <v>4.83673510647208</v>
      </c>
      <c r="H132" s="8">
        <v>0</v>
      </c>
      <c r="I132" s="8">
        <v>0</v>
      </c>
      <c r="J132" s="8">
        <v>0</v>
      </c>
      <c r="K132" s="8">
        <v>0</v>
      </c>
      <c r="L132" s="8">
        <v>3.21150995667436</v>
      </c>
      <c r="M132" s="8">
        <v>0</v>
      </c>
    </row>
    <row r="133" spans="1:13">
      <c r="A133" s="12" t="s">
        <v>291</v>
      </c>
      <c r="B133" s="8" t="s">
        <v>192</v>
      </c>
      <c r="C133" s="8" t="s">
        <v>194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>
      <c r="A134" s="12" t="s">
        <v>291</v>
      </c>
      <c r="B134" s="8" t="s">
        <v>195</v>
      </c>
      <c r="C134" s="8" t="s">
        <v>196</v>
      </c>
      <c r="D134" s="8">
        <v>0</v>
      </c>
      <c r="E134" s="8">
        <v>0</v>
      </c>
      <c r="F134" s="8">
        <v>0</v>
      </c>
      <c r="G134" s="8">
        <v>0.063123513669768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</row>
    <row r="135" spans="1:13">
      <c r="A135" s="12" t="s">
        <v>291</v>
      </c>
      <c r="B135" s="8" t="s">
        <v>195</v>
      </c>
      <c r="C135" s="8" t="s">
        <v>197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>
      <c r="A136" s="12" t="s">
        <v>291</v>
      </c>
      <c r="B136" s="8" t="s">
        <v>198</v>
      </c>
      <c r="C136" s="8" t="s">
        <v>199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>
      <c r="A137" s="12" t="s">
        <v>291</v>
      </c>
      <c r="B137" s="8" t="s">
        <v>36</v>
      </c>
      <c r="C137" s="8" t="s">
        <v>130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>
      <c r="A138" s="12" t="s">
        <v>291</v>
      </c>
      <c r="B138" s="8" t="s">
        <v>200</v>
      </c>
      <c r="C138" s="8" t="s">
        <v>97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>
      <c r="A139" s="12" t="s">
        <v>291</v>
      </c>
      <c r="B139" s="8" t="s">
        <v>200</v>
      </c>
      <c r="C139" s="8" t="s">
        <v>98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>
      <c r="A140" s="12" t="s">
        <v>291</v>
      </c>
      <c r="B140" s="8" t="s">
        <v>200</v>
      </c>
      <c r="C140" s="8" t="s">
        <v>95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>
      <c r="A141" s="12" t="s">
        <v>291</v>
      </c>
      <c r="B141" s="8" t="s">
        <v>200</v>
      </c>
      <c r="C141" s="8" t="s">
        <v>93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>
      <c r="A142" s="12" t="s">
        <v>291</v>
      </c>
      <c r="B142" s="8" t="s">
        <v>200</v>
      </c>
      <c r="C142" s="8" t="s">
        <v>96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>
      <c r="A143" s="12" t="s">
        <v>291</v>
      </c>
      <c r="B143" s="8" t="s">
        <v>200</v>
      </c>
      <c r="C143" s="8" t="s">
        <v>94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>
      <c r="A144" s="12" t="s">
        <v>291</v>
      </c>
      <c r="B144" s="8" t="s">
        <v>201</v>
      </c>
      <c r="C144" s="8" t="s">
        <v>202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>
      <c r="A145" s="8" t="s">
        <v>292</v>
      </c>
      <c r="B145" s="8" t="s">
        <v>188</v>
      </c>
      <c r="C145" s="8" t="s">
        <v>189</v>
      </c>
      <c r="D145" s="8">
        <v>0</v>
      </c>
      <c r="E145" s="8">
        <v>0</v>
      </c>
      <c r="F145" s="8">
        <v>0</v>
      </c>
      <c r="G145" s="8">
        <v>5.58598950533275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</row>
    <row r="146" spans="1:13">
      <c r="A146" s="8" t="s">
        <v>292</v>
      </c>
      <c r="B146" s="8" t="s">
        <v>190</v>
      </c>
      <c r="C146" s="8" t="s">
        <v>191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</row>
    <row r="147" spans="1:13">
      <c r="A147" s="8" t="s">
        <v>292</v>
      </c>
      <c r="B147" s="8" t="s">
        <v>192</v>
      </c>
      <c r="C147" s="8" t="s">
        <v>193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6.53081117389071</v>
      </c>
      <c r="M147" s="8">
        <v>0</v>
      </c>
    </row>
    <row r="148" spans="1:13">
      <c r="A148" s="8" t="s">
        <v>292</v>
      </c>
      <c r="B148" s="8" t="s">
        <v>192</v>
      </c>
      <c r="C148" s="8" t="s">
        <v>194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</row>
    <row r="149" spans="1:13">
      <c r="A149" s="8" t="s">
        <v>292</v>
      </c>
      <c r="B149" s="8" t="s">
        <v>195</v>
      </c>
      <c r="C149" s="8" t="s">
        <v>196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</row>
    <row r="150" spans="1:13">
      <c r="A150" s="8" t="s">
        <v>292</v>
      </c>
      <c r="B150" s="8" t="s">
        <v>195</v>
      </c>
      <c r="C150" s="8" t="s">
        <v>197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</row>
    <row r="151" spans="1:13">
      <c r="A151" s="8" t="s">
        <v>292</v>
      </c>
      <c r="B151" s="8" t="s">
        <v>198</v>
      </c>
      <c r="C151" s="8" t="s">
        <v>199</v>
      </c>
      <c r="D151" s="8">
        <v>1.53564535023614</v>
      </c>
      <c r="E151" s="8">
        <v>18.4958470078198</v>
      </c>
      <c r="F151" s="8">
        <v>0</v>
      </c>
      <c r="G151" s="8">
        <v>2.52494698515584</v>
      </c>
      <c r="H151" s="8">
        <v>0</v>
      </c>
      <c r="I151" s="8">
        <v>0</v>
      </c>
      <c r="J151" s="8">
        <v>0</v>
      </c>
      <c r="K151" s="8">
        <v>0</v>
      </c>
      <c r="L151" s="8">
        <v>3.08878915427626</v>
      </c>
      <c r="M151" s="8">
        <v>0</v>
      </c>
    </row>
    <row r="152" spans="1:13">
      <c r="A152" s="8" t="s">
        <v>292</v>
      </c>
      <c r="B152" s="8" t="s">
        <v>36</v>
      </c>
      <c r="C152" s="8" t="s">
        <v>130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13">
      <c r="A153" s="8" t="s">
        <v>292</v>
      </c>
      <c r="B153" s="8" t="s">
        <v>200</v>
      </c>
      <c r="C153" s="8" t="s">
        <v>97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3">
      <c r="A154" s="8" t="s">
        <v>292</v>
      </c>
      <c r="B154" s="8" t="s">
        <v>200</v>
      </c>
      <c r="C154" s="8" t="s">
        <v>98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13">
      <c r="A155" s="8" t="s">
        <v>292</v>
      </c>
      <c r="B155" s="8" t="s">
        <v>200</v>
      </c>
      <c r="C155" s="8" t="s">
        <v>95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13">
      <c r="A156" s="8" t="s">
        <v>292</v>
      </c>
      <c r="B156" s="8" t="s">
        <v>200</v>
      </c>
      <c r="C156" s="8" t="s">
        <v>93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13">
      <c r="A157" s="8" t="s">
        <v>292</v>
      </c>
      <c r="B157" s="8" t="s">
        <v>200</v>
      </c>
      <c r="C157" s="8" t="s">
        <v>96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13">
      <c r="A158" s="8" t="s">
        <v>292</v>
      </c>
      <c r="B158" s="8" t="s">
        <v>200</v>
      </c>
      <c r="C158" s="8" t="s">
        <v>94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13">
      <c r="A159" s="8" t="s">
        <v>292</v>
      </c>
      <c r="B159" s="8" t="s">
        <v>201</v>
      </c>
      <c r="C159" s="8" t="s">
        <v>202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</row>
  </sheetData>
  <mergeCells count="2">
    <mergeCell ref="D1:H1"/>
    <mergeCell ref="I1:M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workbookViewId="0">
      <selection activeCell="O11" sqref="O11"/>
    </sheetView>
  </sheetViews>
  <sheetFormatPr defaultColWidth="8.75454545454545" defaultRowHeight="14"/>
  <cols>
    <col min="1" max="1" width="16.5" style="10" customWidth="1"/>
    <col min="2" max="2" width="8.75454545454545" style="10"/>
    <col min="3" max="3" width="19.5" style="10" customWidth="1"/>
    <col min="4" max="4" width="8.75454545454545" style="10"/>
    <col min="5" max="5" width="12.8727272727273" style="10"/>
    <col min="6" max="6" width="8.75454545454545" style="10"/>
    <col min="7" max="7" width="12.8727272727273" style="10"/>
    <col min="8" max="9" width="8.75454545454545" style="10"/>
    <col min="10" max="13" width="12.8727272727273" style="10"/>
    <col min="14" max="17" width="12.8181818181818"/>
  </cols>
  <sheetData>
    <row r="1" spans="1:13">
      <c r="A1" s="11"/>
      <c r="B1" s="11"/>
      <c r="C1" s="11"/>
      <c r="D1" s="2" t="s">
        <v>185</v>
      </c>
      <c r="E1" s="3"/>
      <c r="F1" s="3"/>
      <c r="G1" s="3"/>
      <c r="H1" s="4"/>
      <c r="I1" s="5" t="s">
        <v>186</v>
      </c>
      <c r="J1" s="6"/>
      <c r="K1" s="6"/>
      <c r="L1" s="6"/>
      <c r="M1" s="7"/>
    </row>
    <row r="2" spans="1:13">
      <c r="A2" s="11"/>
      <c r="B2" s="11"/>
      <c r="C2" s="11"/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</row>
    <row r="3" spans="1:13">
      <c r="A3" s="8" t="s">
        <v>293</v>
      </c>
      <c r="B3" s="8" t="s">
        <v>188</v>
      </c>
      <c r="C3" s="8" t="s">
        <v>189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>
      <c r="A4" s="8" t="s">
        <v>293</v>
      </c>
      <c r="B4" s="8" t="s">
        <v>190</v>
      </c>
      <c r="C4" s="8" t="s">
        <v>191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>
      <c r="A5" s="8" t="s">
        <v>293</v>
      </c>
      <c r="B5" s="8" t="s">
        <v>192</v>
      </c>
      <c r="C5" s="8" t="s">
        <v>193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>
      <c r="A6" s="8" t="s">
        <v>293</v>
      </c>
      <c r="B6" s="8" t="s">
        <v>192</v>
      </c>
      <c r="C6" s="8" t="s">
        <v>194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>
      <c r="A7" s="8" t="s">
        <v>293</v>
      </c>
      <c r="B7" s="8" t="s">
        <v>195</v>
      </c>
      <c r="C7" s="8" t="s">
        <v>196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>
      <c r="A8" s="8" t="s">
        <v>293</v>
      </c>
      <c r="B8" s="8" t="s">
        <v>195</v>
      </c>
      <c r="C8" s="8" t="s">
        <v>197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>
      <c r="A9" s="8" t="s">
        <v>293</v>
      </c>
      <c r="B9" s="8" t="s">
        <v>198</v>
      </c>
      <c r="C9" s="8" t="s">
        <v>199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>
      <c r="A10" s="8" t="s">
        <v>293</v>
      </c>
      <c r="B10" s="8" t="s">
        <v>36</v>
      </c>
      <c r="C10" s="8" t="s">
        <v>130</v>
      </c>
      <c r="D10" s="8">
        <v>0</v>
      </c>
      <c r="E10" s="8">
        <v>6.78529894716507</v>
      </c>
      <c r="F10" s="8">
        <v>0</v>
      </c>
      <c r="G10" s="8">
        <v>0</v>
      </c>
      <c r="H10" s="8">
        <v>0</v>
      </c>
      <c r="I10" s="8">
        <v>0</v>
      </c>
      <c r="J10" s="8">
        <v>98.5611371099383</v>
      </c>
      <c r="K10" s="8">
        <v>0</v>
      </c>
      <c r="L10" s="8">
        <v>0</v>
      </c>
      <c r="M10" s="8">
        <v>0</v>
      </c>
    </row>
    <row r="11" spans="1:13">
      <c r="A11" s="8" t="s">
        <v>293</v>
      </c>
      <c r="B11" s="8" t="s">
        <v>200</v>
      </c>
      <c r="C11" s="8" t="s">
        <v>97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>
      <c r="A12" s="8" t="s">
        <v>293</v>
      </c>
      <c r="B12" s="8" t="s">
        <v>200</v>
      </c>
      <c r="C12" s="8" t="s">
        <v>98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>
      <c r="A13" s="8" t="s">
        <v>293</v>
      </c>
      <c r="B13" s="8" t="s">
        <v>200</v>
      </c>
      <c r="C13" s="8" t="s">
        <v>95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>
      <c r="A14" s="8" t="s">
        <v>293</v>
      </c>
      <c r="B14" s="8" t="s">
        <v>200</v>
      </c>
      <c r="C14" s="8" t="s">
        <v>93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>
      <c r="A15" s="8" t="s">
        <v>293</v>
      </c>
      <c r="B15" s="8" t="s">
        <v>200</v>
      </c>
      <c r="C15" s="8" t="s">
        <v>96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>
      <c r="A16" s="8" t="s">
        <v>293</v>
      </c>
      <c r="B16" s="8" t="s">
        <v>200</v>
      </c>
      <c r="C16" s="8" t="s">
        <v>94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>
      <c r="A17" s="8" t="s">
        <v>293</v>
      </c>
      <c r="B17" s="8" t="s">
        <v>201</v>
      </c>
      <c r="C17" s="8" t="s">
        <v>202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>
      <c r="A18" s="8" t="s">
        <v>265</v>
      </c>
      <c r="B18" s="8" t="s">
        <v>188</v>
      </c>
      <c r="C18" s="8" t="s">
        <v>189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8" t="s">
        <v>265</v>
      </c>
      <c r="B19" s="8" t="s">
        <v>190</v>
      </c>
      <c r="C19" s="8" t="s">
        <v>191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>
      <c r="A20" s="8" t="s">
        <v>265</v>
      </c>
      <c r="B20" s="8" t="s">
        <v>192</v>
      </c>
      <c r="C20" s="8" t="s">
        <v>193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>
      <c r="A21" s="8" t="s">
        <v>265</v>
      </c>
      <c r="B21" s="8" t="s">
        <v>192</v>
      </c>
      <c r="C21" s="8" t="s">
        <v>194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 t="s">
        <v>265</v>
      </c>
      <c r="B22" s="8" t="s">
        <v>195</v>
      </c>
      <c r="C22" s="8" t="s">
        <v>196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>
      <c r="A23" s="8" t="s">
        <v>265</v>
      </c>
      <c r="B23" s="8" t="s">
        <v>195</v>
      </c>
      <c r="C23" s="8" t="s">
        <v>197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1:13">
      <c r="A24" s="8" t="s">
        <v>265</v>
      </c>
      <c r="B24" s="8" t="s">
        <v>198</v>
      </c>
      <c r="C24" s="8" t="s">
        <v>199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>
      <c r="A25" s="8" t="s">
        <v>265</v>
      </c>
      <c r="B25" s="8" t="s">
        <v>36</v>
      </c>
      <c r="C25" s="8" t="s">
        <v>130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1:13">
      <c r="A26" s="8" t="s">
        <v>265</v>
      </c>
      <c r="B26" s="8" t="s">
        <v>200</v>
      </c>
      <c r="C26" s="8" t="s">
        <v>97</v>
      </c>
      <c r="D26" s="8">
        <v>0</v>
      </c>
      <c r="E26" s="8">
        <v>0</v>
      </c>
      <c r="F26" s="8">
        <v>0</v>
      </c>
      <c r="G26" s="8">
        <v>1.29679527879156</v>
      </c>
      <c r="H26" s="8">
        <v>0</v>
      </c>
      <c r="I26" s="8">
        <v>0</v>
      </c>
      <c r="J26" s="8">
        <v>0</v>
      </c>
      <c r="K26" s="8">
        <v>0</v>
      </c>
      <c r="L26" s="8">
        <v>3.66783757057496</v>
      </c>
      <c r="M26" s="8">
        <v>9.02642027622943</v>
      </c>
    </row>
    <row r="27" spans="1:13">
      <c r="A27" s="8" t="s">
        <v>265</v>
      </c>
      <c r="B27" s="8" t="s">
        <v>200</v>
      </c>
      <c r="C27" s="8" t="s">
        <v>98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>
      <c r="A28" s="8" t="s">
        <v>265</v>
      </c>
      <c r="B28" s="8" t="s">
        <v>200</v>
      </c>
      <c r="C28" s="8" t="s">
        <v>95</v>
      </c>
      <c r="D28" s="8">
        <v>0</v>
      </c>
      <c r="E28" s="8">
        <v>0</v>
      </c>
      <c r="F28" s="8">
        <v>0</v>
      </c>
      <c r="G28" s="8">
        <v>0.449163619898563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1:13">
      <c r="A29" s="8" t="s">
        <v>265</v>
      </c>
      <c r="B29" s="8" t="s">
        <v>200</v>
      </c>
      <c r="C29" s="8" t="s">
        <v>93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 t="s">
        <v>265</v>
      </c>
      <c r="B30" s="8" t="s">
        <v>200</v>
      </c>
      <c r="C30" s="8" t="s">
        <v>96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 t="s">
        <v>265</v>
      </c>
      <c r="B31" s="8" t="s">
        <v>200</v>
      </c>
      <c r="C31" s="8" t="s">
        <v>94</v>
      </c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 t="s">
        <v>265</v>
      </c>
      <c r="B32" s="8" t="s">
        <v>201</v>
      </c>
      <c r="C32" s="8" t="s">
        <v>202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 spans="1:13">
      <c r="A33" s="8" t="s">
        <v>294</v>
      </c>
      <c r="B33" s="8" t="s">
        <v>188</v>
      </c>
      <c r="C33" s="8" t="s">
        <v>189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 t="s">
        <v>294</v>
      </c>
      <c r="B34" s="8" t="s">
        <v>190</v>
      </c>
      <c r="C34" s="8" t="s">
        <v>191</v>
      </c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 t="s">
        <v>294</v>
      </c>
      <c r="B35" s="8" t="s">
        <v>192</v>
      </c>
      <c r="C35" s="8" t="s">
        <v>193</v>
      </c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 t="s">
        <v>294</v>
      </c>
      <c r="B36" s="8" t="s">
        <v>192</v>
      </c>
      <c r="C36" s="8" t="s">
        <v>194</v>
      </c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A37" s="8" t="s">
        <v>294</v>
      </c>
      <c r="B37" s="8" t="s">
        <v>195</v>
      </c>
      <c r="C37" s="8" t="s">
        <v>196</v>
      </c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8" t="s">
        <v>294</v>
      </c>
      <c r="B38" s="8" t="s">
        <v>195</v>
      </c>
      <c r="C38" s="8" t="s">
        <v>197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 t="s">
        <v>294</v>
      </c>
      <c r="B39" s="8" t="s">
        <v>198</v>
      </c>
      <c r="C39" s="8" t="s">
        <v>199</v>
      </c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>
      <c r="A40" s="8" t="s">
        <v>294</v>
      </c>
      <c r="B40" s="8" t="s">
        <v>36</v>
      </c>
      <c r="C40" s="8" t="s">
        <v>130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8.28490417339325</v>
      </c>
      <c r="K40" s="8">
        <v>0</v>
      </c>
      <c r="L40" s="8">
        <v>0</v>
      </c>
      <c r="M40" s="8">
        <v>0</v>
      </c>
    </row>
    <row r="41" spans="1:13">
      <c r="A41" s="8" t="s">
        <v>294</v>
      </c>
      <c r="B41" s="8" t="s">
        <v>200</v>
      </c>
      <c r="C41" s="8" t="s">
        <v>97</v>
      </c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>
      <c r="A42" s="8" t="s">
        <v>294</v>
      </c>
      <c r="B42" s="8" t="s">
        <v>200</v>
      </c>
      <c r="C42" s="8" t="s">
        <v>98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8" t="s">
        <v>294</v>
      </c>
      <c r="B43" s="8" t="s">
        <v>200</v>
      </c>
      <c r="C43" s="8" t="s">
        <v>95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>
      <c r="A44" s="8" t="s">
        <v>294</v>
      </c>
      <c r="B44" s="8" t="s">
        <v>200</v>
      </c>
      <c r="C44" s="8" t="s">
        <v>93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>
      <c r="A45" s="8" t="s">
        <v>294</v>
      </c>
      <c r="B45" s="8" t="s">
        <v>200</v>
      </c>
      <c r="C45" s="8" t="s">
        <v>96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>
      <c r="A46" s="8" t="s">
        <v>294</v>
      </c>
      <c r="B46" s="8" t="s">
        <v>200</v>
      </c>
      <c r="C46" s="8" t="s">
        <v>94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>
      <c r="A47" s="8" t="s">
        <v>294</v>
      </c>
      <c r="B47" s="8" t="s">
        <v>201</v>
      </c>
      <c r="C47" s="8" t="s">
        <v>202</v>
      </c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>
      <c r="A48" s="8" t="s">
        <v>260</v>
      </c>
      <c r="B48" s="8" t="s">
        <v>188</v>
      </c>
      <c r="C48" s="8" t="s">
        <v>189</v>
      </c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8" t="s">
        <v>260</v>
      </c>
      <c r="B49" s="8" t="s">
        <v>190</v>
      </c>
      <c r="C49" s="8" t="s">
        <v>191</v>
      </c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>
      <c r="A50" s="8" t="s">
        <v>260</v>
      </c>
      <c r="B50" s="8" t="s">
        <v>192</v>
      </c>
      <c r="C50" s="8" t="s">
        <v>193</v>
      </c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>
      <c r="A51" s="8" t="s">
        <v>260</v>
      </c>
      <c r="B51" s="8" t="s">
        <v>192</v>
      </c>
      <c r="C51" s="8" t="s">
        <v>194</v>
      </c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>
      <c r="A52" s="8" t="s">
        <v>260</v>
      </c>
      <c r="B52" s="8" t="s">
        <v>195</v>
      </c>
      <c r="C52" s="8" t="s">
        <v>196</v>
      </c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>
      <c r="A53" s="8" t="s">
        <v>260</v>
      </c>
      <c r="B53" s="8" t="s">
        <v>195</v>
      </c>
      <c r="C53" s="8" t="s">
        <v>197</v>
      </c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>
      <c r="A54" s="8" t="s">
        <v>260</v>
      </c>
      <c r="B54" s="8" t="s">
        <v>198</v>
      </c>
      <c r="C54" s="8" t="s">
        <v>199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>
      <c r="A55" s="8" t="s">
        <v>260</v>
      </c>
      <c r="B55" s="8" t="s">
        <v>36</v>
      </c>
      <c r="C55" s="8" t="s">
        <v>130</v>
      </c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>
      <c r="A56" s="8" t="s">
        <v>260</v>
      </c>
      <c r="B56" s="8" t="s">
        <v>200</v>
      </c>
      <c r="C56" s="8" t="s">
        <v>97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</row>
    <row r="57" spans="1:13">
      <c r="A57" s="8" t="s">
        <v>260</v>
      </c>
      <c r="B57" s="8" t="s">
        <v>200</v>
      </c>
      <c r="C57" s="8" t="s">
        <v>98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</row>
    <row r="58" spans="1:13">
      <c r="A58" s="8" t="s">
        <v>260</v>
      </c>
      <c r="B58" s="8" t="s">
        <v>200</v>
      </c>
      <c r="C58" s="8" t="s">
        <v>95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</row>
    <row r="59" spans="1:13">
      <c r="A59" s="8" t="s">
        <v>260</v>
      </c>
      <c r="B59" s="8" t="s">
        <v>200</v>
      </c>
      <c r="C59" s="8" t="s">
        <v>93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>
      <c r="A60" s="8" t="s">
        <v>260</v>
      </c>
      <c r="B60" s="8" t="s">
        <v>200</v>
      </c>
      <c r="C60" s="8" t="s">
        <v>96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>
      <c r="A61" s="8" t="s">
        <v>260</v>
      </c>
      <c r="B61" s="8" t="s">
        <v>200</v>
      </c>
      <c r="C61" s="8" t="s">
        <v>94</v>
      </c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>
      <c r="A62" s="8" t="s">
        <v>260</v>
      </c>
      <c r="B62" s="8" t="s">
        <v>201</v>
      </c>
      <c r="C62" s="8" t="s">
        <v>202</v>
      </c>
      <c r="D62" s="8">
        <v>0</v>
      </c>
      <c r="E62" s="8">
        <v>0</v>
      </c>
      <c r="F62" s="8">
        <v>0</v>
      </c>
      <c r="G62" s="8">
        <v>1.66270542790762</v>
      </c>
      <c r="H62" s="8">
        <v>0</v>
      </c>
      <c r="I62" s="8">
        <v>0</v>
      </c>
      <c r="J62" s="8">
        <v>0</v>
      </c>
      <c r="K62" s="8">
        <v>2.36225468164794</v>
      </c>
      <c r="L62" s="8">
        <v>4.70309795452758</v>
      </c>
      <c r="M62" s="8">
        <v>2.77561100447857</v>
      </c>
    </row>
    <row r="63" spans="1:13">
      <c r="A63" s="8" t="s">
        <v>295</v>
      </c>
      <c r="B63" s="8" t="s">
        <v>188</v>
      </c>
      <c r="C63" s="8" t="s">
        <v>189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</row>
    <row r="64" spans="1:13">
      <c r="A64" s="8" t="s">
        <v>295</v>
      </c>
      <c r="B64" s="8" t="s">
        <v>190</v>
      </c>
      <c r="C64" s="8" t="s">
        <v>191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</row>
    <row r="65" spans="1:13">
      <c r="A65" s="8" t="s">
        <v>295</v>
      </c>
      <c r="B65" s="8" t="s">
        <v>192</v>
      </c>
      <c r="C65" s="8" t="s">
        <v>193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6.83524800800733</v>
      </c>
      <c r="M65" s="8">
        <v>0</v>
      </c>
    </row>
    <row r="66" spans="1:13">
      <c r="A66" s="8" t="s">
        <v>295</v>
      </c>
      <c r="B66" s="8" t="s">
        <v>192</v>
      </c>
      <c r="C66" s="8" t="s">
        <v>194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</row>
    <row r="67" spans="1:13">
      <c r="A67" s="8" t="s">
        <v>295</v>
      </c>
      <c r="B67" s="8" t="s">
        <v>195</v>
      </c>
      <c r="C67" s="8" t="s">
        <v>196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 spans="1:13">
      <c r="A68" s="8" t="s">
        <v>295</v>
      </c>
      <c r="B68" s="8" t="s">
        <v>195</v>
      </c>
      <c r="C68" s="8" t="s">
        <v>197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</row>
    <row r="69" spans="1:13">
      <c r="A69" s="8" t="s">
        <v>295</v>
      </c>
      <c r="B69" s="8" t="s">
        <v>198</v>
      </c>
      <c r="C69" s="8" t="s">
        <v>199</v>
      </c>
      <c r="D69" s="8">
        <v>0</v>
      </c>
      <c r="E69" s="8">
        <v>0</v>
      </c>
      <c r="F69" s="8">
        <v>0</v>
      </c>
      <c r="G69" s="8">
        <v>1.74642281532773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0.401142669330991</v>
      </c>
    </row>
    <row r="70" spans="1:13">
      <c r="A70" s="8" t="s">
        <v>295</v>
      </c>
      <c r="B70" s="8" t="s">
        <v>36</v>
      </c>
      <c r="C70" s="8" t="s">
        <v>130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</row>
    <row r="71" spans="1:13">
      <c r="A71" s="8" t="s">
        <v>295</v>
      </c>
      <c r="B71" s="8" t="s">
        <v>200</v>
      </c>
      <c r="C71" s="8" t="s">
        <v>97</v>
      </c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>
      <c r="A72" s="8" t="s">
        <v>295</v>
      </c>
      <c r="B72" s="8" t="s">
        <v>200</v>
      </c>
      <c r="C72" s="8" t="s">
        <v>98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</row>
    <row r="73" spans="1:13">
      <c r="A73" s="8" t="s">
        <v>295</v>
      </c>
      <c r="B73" s="8" t="s">
        <v>200</v>
      </c>
      <c r="C73" s="8" t="s">
        <v>95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1.03726999793396</v>
      </c>
      <c r="L73" s="8">
        <v>3.78616307917876</v>
      </c>
      <c r="M73" s="8">
        <v>0</v>
      </c>
    </row>
    <row r="74" spans="1:13">
      <c r="A74" s="8" t="s">
        <v>295</v>
      </c>
      <c r="B74" s="8" t="s">
        <v>200</v>
      </c>
      <c r="C74" s="8" t="s">
        <v>93</v>
      </c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>
      <c r="A75" s="8" t="s">
        <v>295</v>
      </c>
      <c r="B75" s="8" t="s">
        <v>200</v>
      </c>
      <c r="C75" s="8" t="s">
        <v>96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</row>
    <row r="76" spans="1:13">
      <c r="A76" s="8" t="s">
        <v>295</v>
      </c>
      <c r="B76" s="8" t="s">
        <v>200</v>
      </c>
      <c r="C76" s="8" t="s">
        <v>94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1.00488606223485</v>
      </c>
      <c r="M76" s="8">
        <v>0</v>
      </c>
    </row>
    <row r="77" spans="1:13">
      <c r="A77" s="8" t="s">
        <v>295</v>
      </c>
      <c r="B77" s="8" t="s">
        <v>201</v>
      </c>
      <c r="C77" s="8" t="s">
        <v>202</v>
      </c>
      <c r="D77" s="8">
        <v>0</v>
      </c>
      <c r="E77" s="8">
        <v>0</v>
      </c>
      <c r="F77" s="8">
        <v>0</v>
      </c>
      <c r="G77" s="8">
        <v>1.62088476457509</v>
      </c>
      <c r="H77" s="8">
        <v>0</v>
      </c>
      <c r="I77" s="8">
        <v>0</v>
      </c>
      <c r="J77" s="8">
        <v>0</v>
      </c>
      <c r="K77" s="8">
        <v>0</v>
      </c>
      <c r="L77" s="8">
        <v>0.836006818759637</v>
      </c>
      <c r="M77" s="8">
        <v>4.19901322429395</v>
      </c>
    </row>
    <row r="78" spans="1:13">
      <c r="A78" s="8" t="s">
        <v>296</v>
      </c>
      <c r="B78" s="12" t="s">
        <v>188</v>
      </c>
      <c r="C78" s="8" t="s">
        <v>189</v>
      </c>
      <c r="D78" s="8">
        <f t="shared" ref="D78:M78" si="0">SUM(D61,D44)</f>
        <v>0</v>
      </c>
      <c r="E78" s="8">
        <f t="shared" si="0"/>
        <v>0</v>
      </c>
      <c r="F78" s="8">
        <f t="shared" si="0"/>
        <v>0</v>
      </c>
      <c r="G78" s="8">
        <f t="shared" si="0"/>
        <v>0</v>
      </c>
      <c r="H78" s="8">
        <f t="shared" si="0"/>
        <v>0</v>
      </c>
      <c r="I78" s="8">
        <f t="shared" si="0"/>
        <v>0</v>
      </c>
      <c r="J78" s="8">
        <f t="shared" si="0"/>
        <v>0</v>
      </c>
      <c r="K78" s="8">
        <f t="shared" si="0"/>
        <v>0</v>
      </c>
      <c r="L78" s="8">
        <f t="shared" si="0"/>
        <v>0</v>
      </c>
      <c r="M78" s="8">
        <f t="shared" si="0"/>
        <v>0</v>
      </c>
    </row>
    <row r="79" spans="1:13">
      <c r="A79" s="8" t="s">
        <v>296</v>
      </c>
      <c r="B79" s="12" t="s">
        <v>190</v>
      </c>
      <c r="C79" s="8" t="s">
        <v>191</v>
      </c>
      <c r="D79" s="8">
        <f t="shared" ref="D79:M79" si="1">SUM(D62,D45)</f>
        <v>0</v>
      </c>
      <c r="E79" s="8">
        <f t="shared" si="1"/>
        <v>0</v>
      </c>
      <c r="F79" s="8">
        <f t="shared" si="1"/>
        <v>0</v>
      </c>
      <c r="G79" s="8">
        <f t="shared" si="1"/>
        <v>1.66270542790762</v>
      </c>
      <c r="H79" s="8">
        <f t="shared" si="1"/>
        <v>0</v>
      </c>
      <c r="I79" s="8">
        <f t="shared" si="1"/>
        <v>0</v>
      </c>
      <c r="J79" s="8">
        <f t="shared" si="1"/>
        <v>0</v>
      </c>
      <c r="K79" s="8">
        <f t="shared" si="1"/>
        <v>2.36225468164794</v>
      </c>
      <c r="L79" s="8">
        <f t="shared" si="1"/>
        <v>4.70309795452758</v>
      </c>
      <c r="M79" s="8">
        <f t="shared" si="1"/>
        <v>2.77561100447857</v>
      </c>
    </row>
    <row r="80" spans="1:13">
      <c r="A80" s="8" t="s">
        <v>296</v>
      </c>
      <c r="B80" s="12" t="s">
        <v>192</v>
      </c>
      <c r="C80" s="8" t="s">
        <v>193</v>
      </c>
      <c r="D80" s="8">
        <f t="shared" ref="D80:M80" si="2">SUM(D63,D46)</f>
        <v>0</v>
      </c>
      <c r="E80" s="8">
        <f t="shared" si="2"/>
        <v>0</v>
      </c>
      <c r="F80" s="8">
        <f t="shared" si="2"/>
        <v>0</v>
      </c>
      <c r="G80" s="8">
        <f t="shared" si="2"/>
        <v>0</v>
      </c>
      <c r="H80" s="8">
        <f t="shared" si="2"/>
        <v>0</v>
      </c>
      <c r="I80" s="8">
        <f t="shared" si="2"/>
        <v>0</v>
      </c>
      <c r="J80" s="8">
        <f t="shared" si="2"/>
        <v>0</v>
      </c>
      <c r="K80" s="8">
        <f t="shared" si="2"/>
        <v>0</v>
      </c>
      <c r="L80" s="8">
        <f t="shared" si="2"/>
        <v>0</v>
      </c>
      <c r="M80" s="8">
        <f t="shared" si="2"/>
        <v>0</v>
      </c>
    </row>
    <row r="81" spans="1:13">
      <c r="A81" s="8" t="s">
        <v>296</v>
      </c>
      <c r="B81" s="12" t="s">
        <v>192</v>
      </c>
      <c r="C81" s="8" t="s">
        <v>194</v>
      </c>
      <c r="D81" s="8">
        <f t="shared" ref="D81:M81" si="3">SUM(D64,D47)</f>
        <v>0</v>
      </c>
      <c r="E81" s="8">
        <f t="shared" si="3"/>
        <v>0</v>
      </c>
      <c r="F81" s="8">
        <f t="shared" si="3"/>
        <v>0</v>
      </c>
      <c r="G81" s="8">
        <f t="shared" si="3"/>
        <v>0</v>
      </c>
      <c r="H81" s="8">
        <f t="shared" si="3"/>
        <v>0</v>
      </c>
      <c r="I81" s="8">
        <f t="shared" si="3"/>
        <v>0</v>
      </c>
      <c r="J81" s="8">
        <f t="shared" si="3"/>
        <v>0</v>
      </c>
      <c r="K81" s="8">
        <f t="shared" si="3"/>
        <v>0</v>
      </c>
      <c r="L81" s="8">
        <f t="shared" si="3"/>
        <v>0</v>
      </c>
      <c r="M81" s="8">
        <f t="shared" si="3"/>
        <v>0</v>
      </c>
    </row>
    <row r="82" spans="1:13">
      <c r="A82" s="8" t="s">
        <v>296</v>
      </c>
      <c r="B82" s="12" t="s">
        <v>195</v>
      </c>
      <c r="C82" s="8" t="s">
        <v>196</v>
      </c>
      <c r="D82" s="8">
        <f t="shared" ref="D82:M82" si="4">SUM(D65,D48)</f>
        <v>0</v>
      </c>
      <c r="E82" s="8">
        <f t="shared" si="4"/>
        <v>0</v>
      </c>
      <c r="F82" s="8">
        <f t="shared" si="4"/>
        <v>0</v>
      </c>
      <c r="G82" s="8">
        <f t="shared" si="4"/>
        <v>0</v>
      </c>
      <c r="H82" s="8">
        <f t="shared" si="4"/>
        <v>0</v>
      </c>
      <c r="I82" s="8">
        <f t="shared" si="4"/>
        <v>0</v>
      </c>
      <c r="J82" s="8">
        <f t="shared" si="4"/>
        <v>0</v>
      </c>
      <c r="K82" s="8">
        <f t="shared" si="4"/>
        <v>0</v>
      </c>
      <c r="L82" s="8">
        <f t="shared" si="4"/>
        <v>6.83524800800733</v>
      </c>
      <c r="M82" s="8">
        <f t="shared" si="4"/>
        <v>0</v>
      </c>
    </row>
    <row r="83" spans="1:13">
      <c r="A83" s="8" t="s">
        <v>296</v>
      </c>
      <c r="B83" s="12" t="s">
        <v>195</v>
      </c>
      <c r="C83" s="8" t="s">
        <v>197</v>
      </c>
      <c r="D83" s="8">
        <f t="shared" ref="D83:M83" si="5">SUM(D66,D49)</f>
        <v>0</v>
      </c>
      <c r="E83" s="8">
        <f t="shared" si="5"/>
        <v>0</v>
      </c>
      <c r="F83" s="8">
        <f t="shared" si="5"/>
        <v>0</v>
      </c>
      <c r="G83" s="8">
        <f t="shared" si="5"/>
        <v>0</v>
      </c>
      <c r="H83" s="8">
        <f t="shared" si="5"/>
        <v>0</v>
      </c>
      <c r="I83" s="8">
        <f t="shared" si="5"/>
        <v>0</v>
      </c>
      <c r="J83" s="8">
        <f t="shared" si="5"/>
        <v>0</v>
      </c>
      <c r="K83" s="8">
        <f t="shared" si="5"/>
        <v>0</v>
      </c>
      <c r="L83" s="8">
        <f t="shared" si="5"/>
        <v>0</v>
      </c>
      <c r="M83" s="8">
        <f t="shared" si="5"/>
        <v>0</v>
      </c>
    </row>
    <row r="84" spans="1:13">
      <c r="A84" s="8" t="s">
        <v>296</v>
      </c>
      <c r="B84" s="12" t="s">
        <v>198</v>
      </c>
      <c r="C84" s="8" t="s">
        <v>199</v>
      </c>
      <c r="D84" s="8">
        <f t="shared" ref="D84:M84" si="6">SUM(D67,D50)</f>
        <v>0</v>
      </c>
      <c r="E84" s="8">
        <f t="shared" si="6"/>
        <v>0</v>
      </c>
      <c r="F84" s="8">
        <f t="shared" si="6"/>
        <v>0</v>
      </c>
      <c r="G84" s="8">
        <f t="shared" si="6"/>
        <v>0</v>
      </c>
      <c r="H84" s="8">
        <f t="shared" si="6"/>
        <v>0</v>
      </c>
      <c r="I84" s="8">
        <f t="shared" si="6"/>
        <v>0</v>
      </c>
      <c r="J84" s="8">
        <f t="shared" si="6"/>
        <v>0</v>
      </c>
      <c r="K84" s="8">
        <f t="shared" si="6"/>
        <v>0</v>
      </c>
      <c r="L84" s="8">
        <f t="shared" si="6"/>
        <v>0</v>
      </c>
      <c r="M84" s="8">
        <f t="shared" si="6"/>
        <v>0</v>
      </c>
    </row>
    <row r="85" spans="1:13">
      <c r="A85" s="8" t="s">
        <v>296</v>
      </c>
      <c r="B85" s="12" t="s">
        <v>36</v>
      </c>
      <c r="C85" s="8" t="s">
        <v>130</v>
      </c>
      <c r="D85" s="8">
        <f t="shared" ref="D85:M85" si="7">SUM(D68,D51)</f>
        <v>0</v>
      </c>
      <c r="E85" s="8">
        <f t="shared" si="7"/>
        <v>0</v>
      </c>
      <c r="F85" s="8">
        <f t="shared" si="7"/>
        <v>0</v>
      </c>
      <c r="G85" s="8">
        <f t="shared" si="7"/>
        <v>0</v>
      </c>
      <c r="H85" s="8">
        <f t="shared" si="7"/>
        <v>0</v>
      </c>
      <c r="I85" s="8">
        <f t="shared" si="7"/>
        <v>0</v>
      </c>
      <c r="J85" s="8">
        <f t="shared" si="7"/>
        <v>0</v>
      </c>
      <c r="K85" s="8">
        <f t="shared" si="7"/>
        <v>0</v>
      </c>
      <c r="L85" s="8">
        <f t="shared" si="7"/>
        <v>0</v>
      </c>
      <c r="M85" s="8">
        <f t="shared" si="7"/>
        <v>0</v>
      </c>
    </row>
    <row r="86" spans="1:13">
      <c r="A86" s="8" t="s">
        <v>296</v>
      </c>
      <c r="B86" s="8" t="s">
        <v>200</v>
      </c>
      <c r="C86" s="8" t="s">
        <v>97</v>
      </c>
      <c r="D86" s="8">
        <f t="shared" ref="D86:M86" si="8">SUM(D69,D52)</f>
        <v>0</v>
      </c>
      <c r="E86" s="8">
        <f t="shared" si="8"/>
        <v>0</v>
      </c>
      <c r="F86" s="8">
        <f t="shared" si="8"/>
        <v>0</v>
      </c>
      <c r="G86" s="8">
        <f t="shared" si="8"/>
        <v>1.74642281532773</v>
      </c>
      <c r="H86" s="8">
        <f t="shared" si="8"/>
        <v>0</v>
      </c>
      <c r="I86" s="8">
        <f t="shared" si="8"/>
        <v>0</v>
      </c>
      <c r="J86" s="8">
        <f t="shared" si="8"/>
        <v>0</v>
      </c>
      <c r="K86" s="8">
        <f t="shared" si="8"/>
        <v>0</v>
      </c>
      <c r="L86" s="8">
        <f t="shared" si="8"/>
        <v>0</v>
      </c>
      <c r="M86" s="8">
        <f t="shared" si="8"/>
        <v>0.401142669330991</v>
      </c>
    </row>
    <row r="87" spans="1:13">
      <c r="A87" s="8" t="s">
        <v>296</v>
      </c>
      <c r="B87" s="8" t="s">
        <v>200</v>
      </c>
      <c r="C87" s="8" t="s">
        <v>98</v>
      </c>
      <c r="D87" s="8">
        <f t="shared" ref="D87:M87" si="9">SUM(D70,D53)</f>
        <v>0</v>
      </c>
      <c r="E87" s="8">
        <f t="shared" si="9"/>
        <v>0</v>
      </c>
      <c r="F87" s="8">
        <f t="shared" si="9"/>
        <v>0</v>
      </c>
      <c r="G87" s="8">
        <f t="shared" si="9"/>
        <v>0</v>
      </c>
      <c r="H87" s="8">
        <f t="shared" si="9"/>
        <v>0</v>
      </c>
      <c r="I87" s="8">
        <f t="shared" si="9"/>
        <v>0</v>
      </c>
      <c r="J87" s="8">
        <f t="shared" si="9"/>
        <v>0</v>
      </c>
      <c r="K87" s="8">
        <f t="shared" si="9"/>
        <v>0</v>
      </c>
      <c r="L87" s="8">
        <f t="shared" si="9"/>
        <v>0</v>
      </c>
      <c r="M87" s="8">
        <f t="shared" si="9"/>
        <v>0</v>
      </c>
    </row>
    <row r="88" spans="1:13">
      <c r="A88" s="8" t="s">
        <v>296</v>
      </c>
      <c r="B88" s="8" t="s">
        <v>200</v>
      </c>
      <c r="C88" s="8" t="s">
        <v>95</v>
      </c>
      <c r="D88" s="8">
        <f t="shared" ref="D88:M88" si="10">SUM(D71,D54)</f>
        <v>0</v>
      </c>
      <c r="E88" s="8">
        <f t="shared" si="10"/>
        <v>0</v>
      </c>
      <c r="F88" s="8">
        <f t="shared" si="10"/>
        <v>0</v>
      </c>
      <c r="G88" s="8">
        <f t="shared" si="10"/>
        <v>0</v>
      </c>
      <c r="H88" s="8">
        <f t="shared" si="10"/>
        <v>0</v>
      </c>
      <c r="I88" s="8">
        <f t="shared" si="10"/>
        <v>0</v>
      </c>
      <c r="J88" s="8">
        <f t="shared" si="10"/>
        <v>0</v>
      </c>
      <c r="K88" s="8">
        <f t="shared" si="10"/>
        <v>0</v>
      </c>
      <c r="L88" s="8">
        <f t="shared" si="10"/>
        <v>0</v>
      </c>
      <c r="M88" s="8">
        <f t="shared" si="10"/>
        <v>0</v>
      </c>
    </row>
    <row r="89" spans="1:13">
      <c r="A89" s="8" t="s">
        <v>296</v>
      </c>
      <c r="B89" s="8" t="s">
        <v>200</v>
      </c>
      <c r="C89" s="8" t="s">
        <v>93</v>
      </c>
      <c r="D89" s="8">
        <f t="shared" ref="D89:M89" si="11">SUM(D72,D55)</f>
        <v>0</v>
      </c>
      <c r="E89" s="8">
        <f t="shared" si="11"/>
        <v>0</v>
      </c>
      <c r="F89" s="8">
        <f t="shared" si="11"/>
        <v>0</v>
      </c>
      <c r="G89" s="8">
        <f t="shared" si="11"/>
        <v>0</v>
      </c>
      <c r="H89" s="8">
        <f t="shared" si="11"/>
        <v>0</v>
      </c>
      <c r="I89" s="8">
        <f t="shared" si="11"/>
        <v>0</v>
      </c>
      <c r="J89" s="8">
        <f t="shared" si="11"/>
        <v>0</v>
      </c>
      <c r="K89" s="8">
        <f t="shared" si="11"/>
        <v>0</v>
      </c>
      <c r="L89" s="8">
        <f t="shared" si="11"/>
        <v>0</v>
      </c>
      <c r="M89" s="8">
        <f t="shared" si="11"/>
        <v>0</v>
      </c>
    </row>
    <row r="90" spans="1:13">
      <c r="A90" s="8" t="s">
        <v>296</v>
      </c>
      <c r="B90" s="8" t="s">
        <v>200</v>
      </c>
      <c r="C90" s="8" t="s">
        <v>96</v>
      </c>
      <c r="D90" s="8">
        <f t="shared" ref="D90:M90" si="12">SUM(D73,D56)</f>
        <v>0</v>
      </c>
      <c r="E90" s="8">
        <f t="shared" si="12"/>
        <v>0</v>
      </c>
      <c r="F90" s="8">
        <f t="shared" si="12"/>
        <v>0</v>
      </c>
      <c r="G90" s="8">
        <f t="shared" si="12"/>
        <v>0</v>
      </c>
      <c r="H90" s="8">
        <f t="shared" si="12"/>
        <v>0</v>
      </c>
      <c r="I90" s="8">
        <f t="shared" si="12"/>
        <v>0</v>
      </c>
      <c r="J90" s="8">
        <f t="shared" si="12"/>
        <v>0</v>
      </c>
      <c r="K90" s="8">
        <f t="shared" si="12"/>
        <v>1.03726999793396</v>
      </c>
      <c r="L90" s="8">
        <f t="shared" si="12"/>
        <v>3.78616307917876</v>
      </c>
      <c r="M90" s="8">
        <f t="shared" si="12"/>
        <v>0</v>
      </c>
    </row>
    <row r="91" spans="1:13">
      <c r="A91" s="8" t="s">
        <v>296</v>
      </c>
      <c r="B91" s="8" t="s">
        <v>200</v>
      </c>
      <c r="C91" s="8" t="s">
        <v>94</v>
      </c>
      <c r="D91" s="8">
        <f t="shared" ref="D91:M91" si="13">SUM(D74,D57)</f>
        <v>0</v>
      </c>
      <c r="E91" s="8">
        <f t="shared" si="13"/>
        <v>0</v>
      </c>
      <c r="F91" s="8">
        <f t="shared" si="13"/>
        <v>0</v>
      </c>
      <c r="G91" s="8">
        <f t="shared" si="13"/>
        <v>0</v>
      </c>
      <c r="H91" s="8">
        <f t="shared" si="13"/>
        <v>0</v>
      </c>
      <c r="I91" s="8">
        <f t="shared" si="13"/>
        <v>0</v>
      </c>
      <c r="J91" s="8">
        <f t="shared" si="13"/>
        <v>0</v>
      </c>
      <c r="K91" s="8">
        <f t="shared" si="13"/>
        <v>0</v>
      </c>
      <c r="L91" s="8">
        <f t="shared" si="13"/>
        <v>0</v>
      </c>
      <c r="M91" s="8">
        <f t="shared" si="13"/>
        <v>0</v>
      </c>
    </row>
    <row r="92" spans="1:13">
      <c r="A92" s="8" t="s">
        <v>296</v>
      </c>
      <c r="B92" s="8" t="s">
        <v>201</v>
      </c>
      <c r="C92" s="8" t="s">
        <v>202</v>
      </c>
      <c r="D92" s="8">
        <v>0</v>
      </c>
      <c r="E92" s="8">
        <v>0</v>
      </c>
      <c r="F92" s="8">
        <v>0</v>
      </c>
      <c r="G92" s="8">
        <v>1.59377324855069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12.0171021654627</v>
      </c>
    </row>
  </sheetData>
  <mergeCells count="2">
    <mergeCell ref="D1:H1"/>
    <mergeCell ref="I1:M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workbookViewId="0">
      <selection activeCell="N3" sqref="N3"/>
    </sheetView>
  </sheetViews>
  <sheetFormatPr defaultColWidth="8.75454545454545" defaultRowHeight="14"/>
  <cols>
    <col min="3" max="3" width="20.3727272727273" customWidth="1"/>
    <col min="4" max="5" width="12.8727272727273" style="1"/>
    <col min="6" max="6" width="8.75454545454545" style="1"/>
    <col min="7" max="7" width="12.8727272727273" style="1"/>
    <col min="8" max="9" width="8.75454545454545" style="1"/>
    <col min="10" max="10" width="12.8727272727273" style="1"/>
    <col min="11" max="11" width="11.7545454545455" style="1"/>
    <col min="12" max="13" width="12.8727272727273" style="1"/>
  </cols>
  <sheetData>
    <row r="1" spans="1:13">
      <c r="D1" s="2" t="s">
        <v>185</v>
      </c>
      <c r="E1" s="3"/>
      <c r="F1" s="3"/>
      <c r="G1" s="3"/>
      <c r="H1" s="4"/>
      <c r="I1" s="5" t="s">
        <v>186</v>
      </c>
      <c r="J1" s="6"/>
      <c r="K1" s="6"/>
      <c r="L1" s="6"/>
      <c r="M1" s="7"/>
    </row>
    <row r="2" spans="1:13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</row>
    <row r="3" spans="1:13">
      <c r="A3" s="9" t="s">
        <v>297</v>
      </c>
      <c r="B3" s="9" t="s">
        <v>188</v>
      </c>
      <c r="C3" s="9" t="s">
        <v>189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13.7992392692543</v>
      </c>
      <c r="M3" s="8">
        <v>0</v>
      </c>
    </row>
    <row r="4" spans="1:13">
      <c r="A4" s="9" t="s">
        <v>297</v>
      </c>
      <c r="B4" s="9" t="s">
        <v>190</v>
      </c>
      <c r="C4" s="9" t="s">
        <v>191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>
      <c r="A5" s="9" t="s">
        <v>297</v>
      </c>
      <c r="B5" s="9" t="s">
        <v>192</v>
      </c>
      <c r="C5" s="9" t="s">
        <v>193</v>
      </c>
      <c r="D5" s="8">
        <v>0</v>
      </c>
      <c r="E5" s="8">
        <v>0</v>
      </c>
      <c r="F5" s="8">
        <v>0</v>
      </c>
      <c r="G5" s="8">
        <v>6.77180140828973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5.32267230792675</v>
      </c>
    </row>
    <row r="6" spans="1:13">
      <c r="A6" s="9" t="s">
        <v>297</v>
      </c>
      <c r="B6" s="9" t="s">
        <v>192</v>
      </c>
      <c r="C6" s="9" t="s">
        <v>194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>
      <c r="A7" s="9" t="s">
        <v>297</v>
      </c>
      <c r="B7" s="9" t="s">
        <v>195</v>
      </c>
      <c r="C7" s="9" t="s">
        <v>196</v>
      </c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>
      <c r="A8" s="9" t="s">
        <v>297</v>
      </c>
      <c r="B8" s="9" t="s">
        <v>195</v>
      </c>
      <c r="C8" s="9" t="s">
        <v>197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>
      <c r="A9" s="9" t="s">
        <v>297</v>
      </c>
      <c r="B9" s="9" t="s">
        <v>198</v>
      </c>
      <c r="C9" s="9" t="s">
        <v>199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>
      <c r="A10" s="9" t="s">
        <v>297</v>
      </c>
      <c r="B10" s="9" t="s">
        <v>36</v>
      </c>
      <c r="C10" s="9" t="s">
        <v>130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>
      <c r="A11" s="9" t="s">
        <v>297</v>
      </c>
      <c r="B11" s="9" t="s">
        <v>200</v>
      </c>
      <c r="C11" s="9" t="s">
        <v>97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>
      <c r="A12" s="9" t="s">
        <v>297</v>
      </c>
      <c r="B12" s="9" t="s">
        <v>200</v>
      </c>
      <c r="C12" s="9" t="s">
        <v>98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>
      <c r="A13" s="9" t="s">
        <v>297</v>
      </c>
      <c r="B13" s="9" t="s">
        <v>200</v>
      </c>
      <c r="C13" s="9" t="s">
        <v>95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>
      <c r="A14" s="9" t="s">
        <v>297</v>
      </c>
      <c r="B14" s="9" t="s">
        <v>200</v>
      </c>
      <c r="C14" s="9" t="s">
        <v>93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>
      <c r="A15" s="9" t="s">
        <v>297</v>
      </c>
      <c r="B15" s="9" t="s">
        <v>200</v>
      </c>
      <c r="C15" s="9" t="s">
        <v>96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A16" s="9" t="s">
        <v>297</v>
      </c>
      <c r="B16" s="9" t="s">
        <v>200</v>
      </c>
      <c r="C16" s="9" t="s">
        <v>94</v>
      </c>
      <c r="D16" s="8">
        <v>0</v>
      </c>
      <c r="E16" s="8">
        <v>0.298505584363979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2.22861080087287</v>
      </c>
      <c r="M16" s="8">
        <v>0</v>
      </c>
    </row>
    <row r="17" spans="1:13">
      <c r="A17" s="9" t="s">
        <v>297</v>
      </c>
      <c r="B17" s="9" t="s">
        <v>201</v>
      </c>
      <c r="C17" s="9" t="s">
        <v>202</v>
      </c>
      <c r="D17" s="8">
        <v>0</v>
      </c>
      <c r="E17" s="8">
        <v>1.44843968195161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2.34376739949354</v>
      </c>
      <c r="M17" s="8">
        <v>0</v>
      </c>
    </row>
    <row r="18" spans="1:13">
      <c r="A18" s="9" t="s">
        <v>298</v>
      </c>
      <c r="B18" s="9" t="s">
        <v>188</v>
      </c>
      <c r="C18" s="9" t="s">
        <v>189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9" t="s">
        <v>298</v>
      </c>
      <c r="B19" s="9" t="s">
        <v>190</v>
      </c>
      <c r="C19" s="9" t="s">
        <v>191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>
      <c r="A20" s="9" t="s">
        <v>298</v>
      </c>
      <c r="B20" s="9" t="s">
        <v>192</v>
      </c>
      <c r="C20" s="9" t="s">
        <v>193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>
      <c r="A21" s="9" t="s">
        <v>298</v>
      </c>
      <c r="B21" s="9" t="s">
        <v>192</v>
      </c>
      <c r="C21" s="9" t="s">
        <v>194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9" t="s">
        <v>298</v>
      </c>
      <c r="B22" s="9" t="s">
        <v>195</v>
      </c>
      <c r="C22" s="9" t="s">
        <v>196</v>
      </c>
      <c r="D22" s="8">
        <v>0</v>
      </c>
      <c r="E22" s="8">
        <v>0</v>
      </c>
      <c r="F22" s="8">
        <v>0</v>
      </c>
      <c r="G22" s="8">
        <v>1.13622659489837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>
      <c r="A23" s="9" t="s">
        <v>298</v>
      </c>
      <c r="B23" s="9" t="s">
        <v>195</v>
      </c>
      <c r="C23" s="9" t="s">
        <v>197</v>
      </c>
      <c r="D23" s="8">
        <v>0</v>
      </c>
      <c r="E23" s="8">
        <v>0</v>
      </c>
      <c r="F23" s="8">
        <v>0</v>
      </c>
      <c r="G23" s="8">
        <v>11.083775161826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1:13">
      <c r="A24" s="9" t="s">
        <v>298</v>
      </c>
      <c r="B24" s="9" t="s">
        <v>198</v>
      </c>
      <c r="C24" s="9" t="s">
        <v>199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>
      <c r="A25" s="9" t="s">
        <v>298</v>
      </c>
      <c r="B25" s="9" t="s">
        <v>36</v>
      </c>
      <c r="C25" s="9" t="s">
        <v>130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1:13">
      <c r="A26" s="9" t="s">
        <v>298</v>
      </c>
      <c r="B26" s="9" t="s">
        <v>200</v>
      </c>
      <c r="C26" s="9" t="s">
        <v>97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9" t="s">
        <v>298</v>
      </c>
      <c r="B27" s="9" t="s">
        <v>200</v>
      </c>
      <c r="C27" s="9" t="s">
        <v>98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>
      <c r="A28" s="9" t="s">
        <v>298</v>
      </c>
      <c r="B28" s="9" t="s">
        <v>200</v>
      </c>
      <c r="C28" s="9" t="s">
        <v>95</v>
      </c>
      <c r="D28" s="8">
        <v>0</v>
      </c>
      <c r="E28" s="8">
        <v>0</v>
      </c>
      <c r="F28" s="8">
        <v>0</v>
      </c>
      <c r="G28" s="8">
        <v>2.09316188957821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1:13">
      <c r="A29" s="9" t="s">
        <v>298</v>
      </c>
      <c r="B29" s="9" t="s">
        <v>200</v>
      </c>
      <c r="C29" s="9" t="s">
        <v>93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9" t="s">
        <v>298</v>
      </c>
      <c r="B30" s="9" t="s">
        <v>200</v>
      </c>
      <c r="C30" s="9" t="s">
        <v>96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9" t="s">
        <v>298</v>
      </c>
      <c r="B31" s="9" t="s">
        <v>200</v>
      </c>
      <c r="C31" s="9" t="s">
        <v>94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1:13">
      <c r="A32" s="9" t="s">
        <v>298</v>
      </c>
      <c r="B32" s="9" t="s">
        <v>201</v>
      </c>
      <c r="C32" s="9" t="s">
        <v>202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8.84501044669575</v>
      </c>
    </row>
    <row r="33" spans="1:13">
      <c r="A33" s="9" t="s">
        <v>299</v>
      </c>
      <c r="B33" s="9" t="s">
        <v>188</v>
      </c>
      <c r="C33" s="9" t="s">
        <v>189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9" t="s">
        <v>299</v>
      </c>
      <c r="B34" s="9" t="s">
        <v>190</v>
      </c>
      <c r="C34" s="9" t="s">
        <v>191</v>
      </c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9" t="s">
        <v>299</v>
      </c>
      <c r="B35" s="9" t="s">
        <v>192</v>
      </c>
      <c r="C35" s="9" t="s">
        <v>193</v>
      </c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9" t="s">
        <v>299</v>
      </c>
      <c r="B36" s="9" t="s">
        <v>192</v>
      </c>
      <c r="C36" s="9" t="s">
        <v>194</v>
      </c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A37" s="9" t="s">
        <v>299</v>
      </c>
      <c r="B37" s="9" t="s">
        <v>195</v>
      </c>
      <c r="C37" s="9" t="s">
        <v>196</v>
      </c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9" t="s">
        <v>299</v>
      </c>
      <c r="B38" s="9" t="s">
        <v>195</v>
      </c>
      <c r="C38" s="9" t="s">
        <v>197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9" t="s">
        <v>299</v>
      </c>
      <c r="B39" s="9" t="s">
        <v>198</v>
      </c>
      <c r="C39" s="9" t="s">
        <v>199</v>
      </c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>
      <c r="A40" s="9" t="s">
        <v>299</v>
      </c>
      <c r="B40" s="9" t="s">
        <v>36</v>
      </c>
      <c r="C40" s="9" t="s">
        <v>130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>
      <c r="A41" s="9" t="s">
        <v>299</v>
      </c>
      <c r="B41" s="9" t="s">
        <v>200</v>
      </c>
      <c r="C41" s="9" t="s">
        <v>97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4.97177466621341</v>
      </c>
    </row>
    <row r="42" spans="1:13">
      <c r="A42" s="9" t="s">
        <v>299</v>
      </c>
      <c r="B42" s="9" t="s">
        <v>200</v>
      </c>
      <c r="C42" s="9" t="s">
        <v>98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</row>
    <row r="43" spans="1:13">
      <c r="A43" s="9" t="s">
        <v>299</v>
      </c>
      <c r="B43" s="9" t="s">
        <v>200</v>
      </c>
      <c r="C43" s="9" t="s">
        <v>95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</row>
    <row r="44" spans="1:13">
      <c r="A44" s="9" t="s">
        <v>299</v>
      </c>
      <c r="B44" s="9" t="s">
        <v>200</v>
      </c>
      <c r="C44" s="9" t="s">
        <v>93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>
      <c r="A45" s="9" t="s">
        <v>299</v>
      </c>
      <c r="B45" s="9" t="s">
        <v>200</v>
      </c>
      <c r="C45" s="9" t="s">
        <v>96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>
      <c r="A46" s="9" t="s">
        <v>299</v>
      </c>
      <c r="B46" s="9" t="s">
        <v>200</v>
      </c>
      <c r="C46" s="9" t="s">
        <v>94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1.98070397088563</v>
      </c>
      <c r="M46" s="8">
        <v>0</v>
      </c>
    </row>
    <row r="47" spans="1:13">
      <c r="A47" s="9" t="s">
        <v>299</v>
      </c>
      <c r="B47" s="9" t="s">
        <v>201</v>
      </c>
      <c r="C47" s="9" t="s">
        <v>202</v>
      </c>
      <c r="D47" s="8">
        <v>0</v>
      </c>
      <c r="E47" s="8">
        <v>0</v>
      </c>
      <c r="F47" s="8">
        <v>0</v>
      </c>
      <c r="G47" s="8">
        <v>2.85016598951203</v>
      </c>
      <c r="H47" s="8">
        <v>0</v>
      </c>
      <c r="I47" s="8">
        <v>0</v>
      </c>
      <c r="J47" s="8">
        <v>0</v>
      </c>
      <c r="K47" s="8">
        <v>0</v>
      </c>
      <c r="L47" s="8">
        <v>2.04123157188343</v>
      </c>
      <c r="M47" s="8">
        <v>4.47649849287602</v>
      </c>
    </row>
    <row r="48" spans="1:13">
      <c r="A48" s="9" t="s">
        <v>300</v>
      </c>
      <c r="B48" s="9" t="s">
        <v>188</v>
      </c>
      <c r="C48" s="9" t="s">
        <v>189</v>
      </c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9" t="s">
        <v>300</v>
      </c>
      <c r="B49" s="9" t="s">
        <v>190</v>
      </c>
      <c r="C49" s="9" t="s">
        <v>191</v>
      </c>
      <c r="D49" s="8">
        <v>31.8434562623862</v>
      </c>
      <c r="E49" s="8">
        <v>6.6813943381561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2.30743588825072</v>
      </c>
      <c r="M49" s="8">
        <v>0</v>
      </c>
    </row>
    <row r="50" spans="1:13">
      <c r="A50" s="9" t="s">
        <v>300</v>
      </c>
      <c r="B50" s="9" t="s">
        <v>192</v>
      </c>
      <c r="C50" s="9" t="s">
        <v>193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2.5023472994347</v>
      </c>
      <c r="K50" s="8">
        <v>0</v>
      </c>
      <c r="L50" s="8">
        <v>0</v>
      </c>
      <c r="M50" s="8">
        <v>0</v>
      </c>
    </row>
    <row r="51" spans="1:13">
      <c r="A51" s="9" t="s">
        <v>300</v>
      </c>
      <c r="B51" s="9" t="s">
        <v>192</v>
      </c>
      <c r="C51" s="9" t="s">
        <v>194</v>
      </c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>
      <c r="A52" s="9" t="s">
        <v>300</v>
      </c>
      <c r="B52" s="9" t="s">
        <v>195</v>
      </c>
      <c r="C52" s="9" t="s">
        <v>196</v>
      </c>
      <c r="D52" s="8">
        <v>0</v>
      </c>
      <c r="E52" s="8">
        <v>0</v>
      </c>
      <c r="F52" s="8">
        <v>0</v>
      </c>
      <c r="G52" s="8">
        <v>1.38872230592536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</row>
    <row r="53" spans="1:13">
      <c r="A53" s="9" t="s">
        <v>300</v>
      </c>
      <c r="B53" s="9" t="s">
        <v>195</v>
      </c>
      <c r="C53" s="9" t="s">
        <v>197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</row>
    <row r="54" spans="1:13">
      <c r="A54" s="9" t="s">
        <v>300</v>
      </c>
      <c r="B54" s="9" t="s">
        <v>198</v>
      </c>
      <c r="C54" s="9" t="s">
        <v>199</v>
      </c>
      <c r="D54" s="8">
        <v>17.7523615682652</v>
      </c>
      <c r="E54" s="8">
        <v>0</v>
      </c>
      <c r="F54" s="8">
        <v>0</v>
      </c>
      <c r="G54" s="8">
        <v>6.12672532631955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</row>
    <row r="55" spans="1:13">
      <c r="A55" s="9" t="s">
        <v>300</v>
      </c>
      <c r="B55" s="9" t="s">
        <v>36</v>
      </c>
      <c r="C55" s="9" t="s">
        <v>130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1:13">
      <c r="A56" s="9" t="s">
        <v>300</v>
      </c>
      <c r="B56" s="9" t="s">
        <v>200</v>
      </c>
      <c r="C56" s="9" t="s">
        <v>97</v>
      </c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>
      <c r="A57" s="9" t="s">
        <v>300</v>
      </c>
      <c r="B57" s="9" t="s">
        <v>200</v>
      </c>
      <c r="C57" s="9" t="s">
        <v>98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6.48913196212291</v>
      </c>
      <c r="M57" s="8">
        <v>2.55497356150507</v>
      </c>
    </row>
    <row r="58" spans="1:13">
      <c r="A58" s="9" t="s">
        <v>300</v>
      </c>
      <c r="B58" s="9" t="s">
        <v>200</v>
      </c>
      <c r="C58" s="9" t="s">
        <v>95</v>
      </c>
      <c r="D58" s="8">
        <v>0</v>
      </c>
      <c r="E58" s="8">
        <v>0</v>
      </c>
      <c r="F58" s="8">
        <v>0</v>
      </c>
      <c r="G58" s="8">
        <v>1.42699909705347</v>
      </c>
      <c r="H58" s="8">
        <v>0</v>
      </c>
      <c r="I58" s="8">
        <v>0</v>
      </c>
      <c r="J58" s="8">
        <v>0</v>
      </c>
      <c r="K58" s="8">
        <v>2.87938527994478</v>
      </c>
      <c r="L58" s="8">
        <v>0</v>
      </c>
      <c r="M58" s="8">
        <v>0</v>
      </c>
    </row>
    <row r="59" spans="1:13">
      <c r="A59" s="9" t="s">
        <v>300</v>
      </c>
      <c r="B59" s="9" t="s">
        <v>200</v>
      </c>
      <c r="C59" s="9" t="s">
        <v>93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>
      <c r="A60" s="9" t="s">
        <v>300</v>
      </c>
      <c r="B60" s="9" t="s">
        <v>200</v>
      </c>
      <c r="C60" s="9" t="s">
        <v>96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>
      <c r="A61" s="9" t="s">
        <v>300</v>
      </c>
      <c r="B61" s="9" t="s">
        <v>200</v>
      </c>
      <c r="C61" s="9" t="s">
        <v>94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</row>
    <row r="62" spans="1:13">
      <c r="A62" s="9" t="s">
        <v>300</v>
      </c>
      <c r="B62" s="9" t="s">
        <v>201</v>
      </c>
      <c r="C62" s="9" t="s">
        <v>202</v>
      </c>
      <c r="D62" s="8">
        <v>0</v>
      </c>
      <c r="E62" s="8">
        <v>0</v>
      </c>
      <c r="F62" s="8">
        <v>0</v>
      </c>
      <c r="G62" s="8">
        <v>3.19893693170612</v>
      </c>
      <c r="H62" s="8">
        <v>0</v>
      </c>
      <c r="I62" s="8">
        <v>0</v>
      </c>
      <c r="J62" s="8">
        <v>0</v>
      </c>
      <c r="K62" s="8">
        <v>0</v>
      </c>
      <c r="L62" s="8">
        <v>2.13484010942162</v>
      </c>
      <c r="M62" s="8">
        <v>3.73918267173961</v>
      </c>
    </row>
  </sheetData>
  <mergeCells count="2">
    <mergeCell ref="D1:H1"/>
    <mergeCell ref="I1:M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workbookViewId="0">
      <selection activeCell="N3" sqref="N3"/>
    </sheetView>
  </sheetViews>
  <sheetFormatPr defaultColWidth="8.75454545454545" defaultRowHeight="14"/>
  <cols>
    <col min="3" max="3" width="19.5" customWidth="1"/>
    <col min="4" max="13" width="12.8727272727273" style="1"/>
  </cols>
  <sheetData>
    <row r="1" spans="1:13">
      <c r="D1" s="2" t="s">
        <v>185</v>
      </c>
      <c r="E1" s="3"/>
      <c r="F1" s="3"/>
      <c r="G1" s="3"/>
      <c r="H1" s="4"/>
      <c r="I1" s="5" t="s">
        <v>186</v>
      </c>
      <c r="J1" s="6"/>
      <c r="K1" s="6"/>
      <c r="L1" s="6"/>
      <c r="M1" s="7"/>
    </row>
    <row r="2" spans="1:13"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</row>
    <row r="3" spans="1:13">
      <c r="A3" s="9" t="s">
        <v>301</v>
      </c>
      <c r="B3" s="9" t="s">
        <v>188</v>
      </c>
      <c r="C3" s="9" t="s">
        <v>189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9" t="s">
        <v>301</v>
      </c>
      <c r="B4" s="9" t="s">
        <v>190</v>
      </c>
      <c r="C4" s="9" t="s">
        <v>191</v>
      </c>
      <c r="D4" s="8">
        <v>0</v>
      </c>
      <c r="E4" s="8">
        <v>4.76653873267017</v>
      </c>
      <c r="F4" s="8">
        <v>0</v>
      </c>
      <c r="G4" s="8">
        <v>0</v>
      </c>
      <c r="H4" s="8">
        <v>0</v>
      </c>
      <c r="I4" s="8">
        <v>0</v>
      </c>
      <c r="J4" s="8">
        <v>2.2930791968199</v>
      </c>
      <c r="K4" s="8">
        <v>0</v>
      </c>
      <c r="L4" s="8">
        <v>0</v>
      </c>
      <c r="M4" s="8">
        <v>0</v>
      </c>
    </row>
    <row r="5" spans="1:13">
      <c r="A5" s="9" t="s">
        <v>301</v>
      </c>
      <c r="B5" s="9" t="s">
        <v>192</v>
      </c>
      <c r="C5" s="9" t="s">
        <v>193</v>
      </c>
      <c r="D5" s="8">
        <v>0</v>
      </c>
      <c r="E5" s="8">
        <v>0</v>
      </c>
      <c r="F5" s="8">
        <v>0</v>
      </c>
      <c r="G5" s="8">
        <v>10.1645481955799</v>
      </c>
      <c r="H5" s="8">
        <v>0</v>
      </c>
      <c r="I5" s="8">
        <v>0</v>
      </c>
      <c r="J5" s="8">
        <v>2.21165567789362</v>
      </c>
      <c r="K5" s="8">
        <v>0</v>
      </c>
      <c r="L5" s="8">
        <v>0</v>
      </c>
      <c r="M5" s="8">
        <v>0</v>
      </c>
    </row>
    <row r="6" spans="1:13">
      <c r="A6" s="9" t="s">
        <v>301</v>
      </c>
      <c r="B6" s="9" t="s">
        <v>192</v>
      </c>
      <c r="C6" s="9" t="s">
        <v>194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>
      <c r="A7" s="9" t="s">
        <v>301</v>
      </c>
      <c r="B7" s="9" t="s">
        <v>195</v>
      </c>
      <c r="C7" s="9" t="s">
        <v>196</v>
      </c>
      <c r="D7" s="8">
        <v>0</v>
      </c>
      <c r="E7" s="8">
        <v>0</v>
      </c>
      <c r="F7" s="8">
        <v>0</v>
      </c>
      <c r="G7" s="8">
        <v>6.4284121921389</v>
      </c>
      <c r="H7" s="8">
        <v>0</v>
      </c>
      <c r="I7" s="8">
        <v>0</v>
      </c>
      <c r="J7" s="8">
        <v>0</v>
      </c>
      <c r="K7" s="8">
        <v>0</v>
      </c>
      <c r="L7" s="8">
        <v>3.06252827522404</v>
      </c>
      <c r="M7" s="8">
        <v>0</v>
      </c>
    </row>
    <row r="8" spans="1:13">
      <c r="A8" s="9" t="s">
        <v>301</v>
      </c>
      <c r="B8" s="9" t="s">
        <v>195</v>
      </c>
      <c r="C8" s="9" t="s">
        <v>197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>
      <c r="A9" s="9" t="s">
        <v>301</v>
      </c>
      <c r="B9" s="9" t="s">
        <v>198</v>
      </c>
      <c r="C9" s="9" t="s">
        <v>199</v>
      </c>
      <c r="D9" s="8">
        <v>0</v>
      </c>
      <c r="E9" s="8">
        <v>0</v>
      </c>
      <c r="F9" s="8">
        <v>0</v>
      </c>
      <c r="G9" s="8">
        <v>9.25702509126501</v>
      </c>
      <c r="H9" s="8">
        <v>0</v>
      </c>
      <c r="I9" s="8">
        <v>0</v>
      </c>
      <c r="J9" s="8">
        <v>0</v>
      </c>
      <c r="K9" s="8">
        <v>0</v>
      </c>
      <c r="L9" s="8">
        <v>3.61130707038681</v>
      </c>
      <c r="M9" s="8">
        <v>0</v>
      </c>
    </row>
    <row r="10" spans="1:13">
      <c r="A10" s="9" t="s">
        <v>301</v>
      </c>
      <c r="B10" s="9" t="s">
        <v>36</v>
      </c>
      <c r="C10" s="9" t="s">
        <v>130</v>
      </c>
      <c r="D10" s="8">
        <v>0</v>
      </c>
      <c r="E10" s="8">
        <v>0</v>
      </c>
      <c r="F10" s="8">
        <v>0</v>
      </c>
      <c r="G10" s="8">
        <v>0</v>
      </c>
      <c r="H10" s="8">
        <v>8.4281079427975</v>
      </c>
      <c r="I10" s="8">
        <v>0</v>
      </c>
      <c r="J10" s="8">
        <v>2.03448555581468</v>
      </c>
      <c r="K10" s="8">
        <v>0</v>
      </c>
      <c r="L10" s="8">
        <v>0</v>
      </c>
      <c r="M10" s="8">
        <v>0</v>
      </c>
    </row>
    <row r="11" spans="1:13">
      <c r="A11" s="9" t="s">
        <v>301</v>
      </c>
      <c r="B11" s="9" t="s">
        <v>200</v>
      </c>
      <c r="C11" s="9" t="s">
        <v>97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>
      <c r="A12" s="9" t="s">
        <v>301</v>
      </c>
      <c r="B12" s="9" t="s">
        <v>200</v>
      </c>
      <c r="C12" s="9" t="s">
        <v>98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>
      <c r="A13" s="9" t="s">
        <v>301</v>
      </c>
      <c r="B13" s="9" t="s">
        <v>200</v>
      </c>
      <c r="C13" s="9" t="s">
        <v>95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2.51646508348138</v>
      </c>
      <c r="L13" s="8">
        <v>0</v>
      </c>
      <c r="M13" s="8">
        <v>0</v>
      </c>
    </row>
    <row r="14" spans="1:13">
      <c r="A14" s="9" t="s">
        <v>301</v>
      </c>
      <c r="B14" s="9" t="s">
        <v>200</v>
      </c>
      <c r="C14" s="9" t="s">
        <v>93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>
      <c r="A15" s="9" t="s">
        <v>301</v>
      </c>
      <c r="B15" s="9" t="s">
        <v>200</v>
      </c>
      <c r="C15" s="9" t="s">
        <v>96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>
      <c r="A16" s="9" t="s">
        <v>301</v>
      </c>
      <c r="B16" s="9" t="s">
        <v>200</v>
      </c>
      <c r="C16" s="9" t="s">
        <v>94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>
      <c r="A17" s="9" t="s">
        <v>301</v>
      </c>
      <c r="B17" s="9" t="s">
        <v>201</v>
      </c>
      <c r="C17" s="9" t="s">
        <v>202</v>
      </c>
      <c r="D17" s="8">
        <v>0</v>
      </c>
      <c r="E17" s="8">
        <v>0</v>
      </c>
      <c r="F17" s="8">
        <v>0</v>
      </c>
      <c r="G17" s="8">
        <v>15.8311916372605</v>
      </c>
      <c r="H17" s="8">
        <v>0</v>
      </c>
      <c r="I17" s="8">
        <v>0</v>
      </c>
      <c r="J17" s="8">
        <v>0</v>
      </c>
      <c r="K17" s="8">
        <v>0</v>
      </c>
      <c r="L17" s="8">
        <v>2.85276255369575</v>
      </c>
      <c r="M17" s="8">
        <v>29.8053350366518</v>
      </c>
    </row>
    <row r="18" spans="1:13">
      <c r="A18" s="9" t="s">
        <v>302</v>
      </c>
      <c r="B18" s="9" t="s">
        <v>188</v>
      </c>
      <c r="C18" s="9" t="s">
        <v>189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9" t="s">
        <v>302</v>
      </c>
      <c r="B19" s="9" t="s">
        <v>190</v>
      </c>
      <c r="C19" s="9" t="s">
        <v>191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A20" s="9" t="s">
        <v>302</v>
      </c>
      <c r="B20" s="9" t="s">
        <v>192</v>
      </c>
      <c r="C20" s="9" t="s">
        <v>193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>
      <c r="A21" s="9" t="s">
        <v>302</v>
      </c>
      <c r="B21" s="9" t="s">
        <v>192</v>
      </c>
      <c r="C21" s="9" t="s">
        <v>194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9" t="s">
        <v>302</v>
      </c>
      <c r="B22" s="9" t="s">
        <v>195</v>
      </c>
      <c r="C22" s="9" t="s">
        <v>196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9" t="s">
        <v>302</v>
      </c>
      <c r="B23" s="9" t="s">
        <v>195</v>
      </c>
      <c r="C23" s="9" t="s">
        <v>197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9" t="s">
        <v>302</v>
      </c>
      <c r="B24" s="9" t="s">
        <v>198</v>
      </c>
      <c r="C24" s="9" t="s">
        <v>199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9" t="s">
        <v>302</v>
      </c>
      <c r="B25" s="9" t="s">
        <v>36</v>
      </c>
      <c r="C25" s="9" t="s">
        <v>130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3.77330566679575</v>
      </c>
      <c r="K25" s="8">
        <v>0</v>
      </c>
      <c r="L25" s="8">
        <v>0</v>
      </c>
      <c r="M25" s="8">
        <v>0</v>
      </c>
    </row>
    <row r="26" spans="1:13">
      <c r="A26" s="9" t="s">
        <v>302</v>
      </c>
      <c r="B26" s="9" t="s">
        <v>200</v>
      </c>
      <c r="C26" s="9" t="s">
        <v>97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3.73695326949919</v>
      </c>
      <c r="L26" s="8">
        <v>0</v>
      </c>
      <c r="M26" s="8">
        <v>0</v>
      </c>
    </row>
    <row r="27" spans="1:13">
      <c r="A27" s="9" t="s">
        <v>302</v>
      </c>
      <c r="B27" s="9" t="s">
        <v>200</v>
      </c>
      <c r="C27" s="9" t="s">
        <v>98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24.3573439148617</v>
      </c>
      <c r="K27" s="8">
        <v>0</v>
      </c>
      <c r="L27" s="8">
        <v>0</v>
      </c>
      <c r="M27" s="8">
        <v>0</v>
      </c>
    </row>
    <row r="28" spans="1:13">
      <c r="A28" s="9" t="s">
        <v>302</v>
      </c>
      <c r="B28" s="9" t="s">
        <v>200</v>
      </c>
      <c r="C28" s="9" t="s">
        <v>95</v>
      </c>
      <c r="D28" s="8">
        <v>0</v>
      </c>
      <c r="E28" s="8">
        <v>0.228264423622527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2.34334081575235</v>
      </c>
      <c r="M28" s="8">
        <v>0</v>
      </c>
    </row>
    <row r="29" spans="1:13">
      <c r="A29" s="9" t="s">
        <v>302</v>
      </c>
      <c r="B29" s="9" t="s">
        <v>200</v>
      </c>
      <c r="C29" s="9" t="s">
        <v>93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9" t="s">
        <v>302</v>
      </c>
      <c r="B30" s="9" t="s">
        <v>200</v>
      </c>
      <c r="C30" s="9" t="s">
        <v>96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0.252954457261791</v>
      </c>
      <c r="M30" s="8">
        <v>0</v>
      </c>
    </row>
    <row r="31" spans="1:13">
      <c r="A31" s="9" t="s">
        <v>302</v>
      </c>
      <c r="B31" s="9" t="s">
        <v>200</v>
      </c>
      <c r="C31" s="9" t="s">
        <v>94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4.09104731818642</v>
      </c>
      <c r="M31" s="8">
        <v>0</v>
      </c>
    </row>
    <row r="32" spans="1:13">
      <c r="A32" s="9" t="s">
        <v>302</v>
      </c>
      <c r="B32" s="9" t="s">
        <v>201</v>
      </c>
      <c r="C32" s="9" t="s">
        <v>202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28.7791719251741</v>
      </c>
      <c r="K32" s="8">
        <v>0</v>
      </c>
      <c r="L32" s="8">
        <v>4.36346155740652</v>
      </c>
      <c r="M32" s="8">
        <v>0</v>
      </c>
    </row>
    <row r="33" spans="1:13">
      <c r="A33" s="9" t="s">
        <v>303</v>
      </c>
      <c r="B33" s="9" t="s">
        <v>188</v>
      </c>
      <c r="C33" s="9" t="s">
        <v>189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9" t="s">
        <v>303</v>
      </c>
      <c r="B34" s="9" t="s">
        <v>190</v>
      </c>
      <c r="C34" s="9" t="s">
        <v>191</v>
      </c>
      <c r="D34" s="8">
        <v>0</v>
      </c>
      <c r="E34" s="8">
        <v>3.95866076669972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</row>
    <row r="35" spans="1:13">
      <c r="A35" s="9" t="s">
        <v>303</v>
      </c>
      <c r="B35" s="9" t="s">
        <v>192</v>
      </c>
      <c r="C35" s="9" t="s">
        <v>193</v>
      </c>
      <c r="D35" s="8">
        <v>6.21398887146501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1.10341234236462</v>
      </c>
      <c r="L35" s="8">
        <v>0</v>
      </c>
      <c r="M35" s="8">
        <v>0</v>
      </c>
    </row>
    <row r="36" spans="1:13">
      <c r="A36" s="9" t="s">
        <v>303</v>
      </c>
      <c r="B36" s="9" t="s">
        <v>192</v>
      </c>
      <c r="C36" s="9" t="s">
        <v>194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</row>
    <row r="37" spans="1:13">
      <c r="A37" s="9" t="s">
        <v>303</v>
      </c>
      <c r="B37" s="9" t="s">
        <v>195</v>
      </c>
      <c r="C37" s="9" t="s">
        <v>196</v>
      </c>
      <c r="D37" s="8">
        <v>0</v>
      </c>
      <c r="E37" s="8">
        <v>3.84424777468122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0.769765247051654</v>
      </c>
      <c r="L37" s="8">
        <v>0</v>
      </c>
      <c r="M37" s="8">
        <v>0</v>
      </c>
    </row>
    <row r="38" spans="1:13">
      <c r="A38" s="9" t="s">
        <v>303</v>
      </c>
      <c r="B38" s="9" t="s">
        <v>195</v>
      </c>
      <c r="C38" s="9" t="s">
        <v>197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</row>
    <row r="39" spans="1:13">
      <c r="A39" s="9" t="s">
        <v>303</v>
      </c>
      <c r="B39" s="9" t="s">
        <v>198</v>
      </c>
      <c r="C39" s="9" t="s">
        <v>199</v>
      </c>
      <c r="D39" s="8">
        <v>1.58597412498834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</row>
    <row r="40" spans="1:13">
      <c r="A40" s="9" t="s">
        <v>303</v>
      </c>
      <c r="B40" s="9" t="s">
        <v>36</v>
      </c>
      <c r="C40" s="9" t="s">
        <v>130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</row>
    <row r="41" spans="1:13">
      <c r="A41" s="9" t="s">
        <v>303</v>
      </c>
      <c r="B41" s="9" t="s">
        <v>200</v>
      </c>
      <c r="C41" s="9" t="s">
        <v>97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</row>
    <row r="42" spans="1:13">
      <c r="A42" s="9" t="s">
        <v>303</v>
      </c>
      <c r="B42" s="9" t="s">
        <v>200</v>
      </c>
      <c r="C42" s="9" t="s">
        <v>98</v>
      </c>
      <c r="D42" s="8">
        <v>0</v>
      </c>
      <c r="E42" s="8">
        <v>1.32803895216504</v>
      </c>
      <c r="F42" s="8">
        <v>0</v>
      </c>
      <c r="G42" s="8">
        <v>0</v>
      </c>
      <c r="H42" s="8">
        <v>0</v>
      </c>
      <c r="I42" s="8">
        <v>0</v>
      </c>
      <c r="J42" s="8">
        <v>2.15819105622666</v>
      </c>
      <c r="K42" s="8">
        <v>0</v>
      </c>
      <c r="L42" s="8">
        <v>0</v>
      </c>
      <c r="M42" s="8">
        <v>0</v>
      </c>
    </row>
    <row r="43" spans="1:13">
      <c r="A43" s="9" t="s">
        <v>303</v>
      </c>
      <c r="B43" s="9" t="s">
        <v>200</v>
      </c>
      <c r="C43" s="9" t="s">
        <v>95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>
      <c r="A44" s="9" t="s">
        <v>303</v>
      </c>
      <c r="B44" s="9" t="s">
        <v>200</v>
      </c>
      <c r="C44" s="9" t="s">
        <v>93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4.63136646219133</v>
      </c>
      <c r="K44" s="8">
        <v>0</v>
      </c>
      <c r="L44" s="8">
        <v>0</v>
      </c>
      <c r="M44" s="8">
        <v>0</v>
      </c>
    </row>
    <row r="45" spans="1:13">
      <c r="A45" s="9" t="s">
        <v>303</v>
      </c>
      <c r="B45" s="9" t="s">
        <v>200</v>
      </c>
      <c r="C45" s="9" t="s">
        <v>96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>
      <c r="A46" s="9" t="s">
        <v>303</v>
      </c>
      <c r="B46" s="9" t="s">
        <v>200</v>
      </c>
      <c r="C46" s="9" t="s">
        <v>94</v>
      </c>
      <c r="D46" s="8">
        <v>0</v>
      </c>
      <c r="E46" s="8">
        <v>1.46524719141799</v>
      </c>
      <c r="F46" s="8">
        <v>0</v>
      </c>
      <c r="G46" s="8">
        <v>0</v>
      </c>
      <c r="H46" s="8">
        <v>0</v>
      </c>
      <c r="I46" s="8">
        <v>0</v>
      </c>
      <c r="J46" s="8">
        <v>1.42821628074954</v>
      </c>
      <c r="K46" s="8">
        <v>0</v>
      </c>
      <c r="L46" s="8">
        <v>0</v>
      </c>
      <c r="M46" s="8">
        <v>0</v>
      </c>
    </row>
    <row r="47" spans="1:13">
      <c r="A47" s="9" t="s">
        <v>303</v>
      </c>
      <c r="B47" s="9" t="s">
        <v>201</v>
      </c>
      <c r="C47" s="9" t="s">
        <v>202</v>
      </c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>
      <c r="A48" s="9" t="s">
        <v>304</v>
      </c>
      <c r="B48" s="9" t="s">
        <v>188</v>
      </c>
      <c r="C48" s="9" t="s">
        <v>189</v>
      </c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9" t="s">
        <v>304</v>
      </c>
      <c r="B49" s="9" t="s">
        <v>190</v>
      </c>
      <c r="C49" s="9" t="s">
        <v>191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</row>
    <row r="50" spans="1:13">
      <c r="A50" s="9" t="s">
        <v>304</v>
      </c>
      <c r="B50" s="9" t="s">
        <v>192</v>
      </c>
      <c r="C50" s="9" t="s">
        <v>193</v>
      </c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>
      <c r="A51" s="9" t="s">
        <v>304</v>
      </c>
      <c r="B51" s="9" t="s">
        <v>192</v>
      </c>
      <c r="C51" s="9" t="s">
        <v>194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</row>
    <row r="52" spans="1:13">
      <c r="A52" s="9" t="s">
        <v>304</v>
      </c>
      <c r="B52" s="9" t="s">
        <v>195</v>
      </c>
      <c r="C52" s="9" t="s">
        <v>196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</row>
    <row r="53" spans="1:13">
      <c r="A53" s="9" t="s">
        <v>304</v>
      </c>
      <c r="B53" s="9" t="s">
        <v>195</v>
      </c>
      <c r="C53" s="9" t="s">
        <v>197</v>
      </c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>
      <c r="A54" s="9" t="s">
        <v>304</v>
      </c>
      <c r="B54" s="9" t="s">
        <v>198</v>
      </c>
      <c r="C54" s="9" t="s">
        <v>199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</row>
    <row r="55" spans="1:13">
      <c r="A55" s="9" t="s">
        <v>304</v>
      </c>
      <c r="B55" s="9" t="s">
        <v>36</v>
      </c>
      <c r="C55" s="9" t="s">
        <v>130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1:13">
      <c r="A56" s="9" t="s">
        <v>304</v>
      </c>
      <c r="B56" s="9" t="s">
        <v>200</v>
      </c>
      <c r="C56" s="9" t="s">
        <v>97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</row>
    <row r="57" spans="1:13">
      <c r="A57" s="9" t="s">
        <v>304</v>
      </c>
      <c r="B57" s="9" t="s">
        <v>200</v>
      </c>
      <c r="C57" s="9" t="s">
        <v>98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</row>
    <row r="58" spans="1:13">
      <c r="A58" s="9" t="s">
        <v>304</v>
      </c>
      <c r="B58" s="9" t="s">
        <v>200</v>
      </c>
      <c r="C58" s="9" t="s">
        <v>95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</row>
    <row r="59" spans="1:13">
      <c r="A59" s="9" t="s">
        <v>304</v>
      </c>
      <c r="B59" s="9" t="s">
        <v>200</v>
      </c>
      <c r="C59" s="9" t="s">
        <v>93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</row>
    <row r="60" spans="1:13">
      <c r="A60" s="9" t="s">
        <v>304</v>
      </c>
      <c r="B60" s="9" t="s">
        <v>200</v>
      </c>
      <c r="C60" s="9" t="s">
        <v>96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</row>
    <row r="61" spans="1:13">
      <c r="A61" s="9" t="s">
        <v>304</v>
      </c>
      <c r="B61" s="9" t="s">
        <v>200</v>
      </c>
      <c r="C61" s="9" t="s">
        <v>94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1.04954341555104</v>
      </c>
      <c r="M61" s="8">
        <v>0</v>
      </c>
    </row>
    <row r="62" spans="1:13">
      <c r="A62" s="9" t="s">
        <v>304</v>
      </c>
      <c r="B62" s="9" t="s">
        <v>201</v>
      </c>
      <c r="C62" s="9" t="s">
        <v>202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1.6049529754649</v>
      </c>
      <c r="M62" s="8">
        <v>0</v>
      </c>
    </row>
    <row r="63" spans="1:13">
      <c r="A63" s="9" t="s">
        <v>305</v>
      </c>
      <c r="B63" s="9" t="s">
        <v>188</v>
      </c>
      <c r="C63" s="9" t="s">
        <v>189</v>
      </c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>
      <c r="A64" s="9" t="s">
        <v>305</v>
      </c>
      <c r="B64" s="9" t="s">
        <v>190</v>
      </c>
      <c r="C64" s="9" t="s">
        <v>191</v>
      </c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>
      <c r="A65" s="9" t="s">
        <v>305</v>
      </c>
      <c r="B65" s="9" t="s">
        <v>192</v>
      </c>
      <c r="C65" s="9" t="s">
        <v>193</v>
      </c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>
      <c r="A66" s="9" t="s">
        <v>305</v>
      </c>
      <c r="B66" s="9" t="s">
        <v>192</v>
      </c>
      <c r="C66" s="9" t="s">
        <v>194</v>
      </c>
      <c r="D66" s="8">
        <v>0</v>
      </c>
      <c r="E66" s="8">
        <v>3.29710337448649</v>
      </c>
      <c r="F66" s="8">
        <v>0</v>
      </c>
      <c r="G66" s="8">
        <v>0</v>
      </c>
      <c r="H66" s="8">
        <v>0</v>
      </c>
      <c r="I66" s="8">
        <v>0</v>
      </c>
      <c r="J66" s="8">
        <v>1.27409816297209</v>
      </c>
      <c r="K66" s="8">
        <v>0</v>
      </c>
      <c r="L66" s="8">
        <v>0</v>
      </c>
      <c r="M66" s="8">
        <v>0</v>
      </c>
    </row>
    <row r="67" spans="1:13">
      <c r="A67" s="9" t="s">
        <v>305</v>
      </c>
      <c r="B67" s="9" t="s">
        <v>195</v>
      </c>
      <c r="C67" s="9" t="s">
        <v>196</v>
      </c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>
      <c r="A68" s="9" t="s">
        <v>305</v>
      </c>
      <c r="B68" s="9" t="s">
        <v>195</v>
      </c>
      <c r="C68" s="9" t="s">
        <v>197</v>
      </c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>
      <c r="A69" s="9" t="s">
        <v>305</v>
      </c>
      <c r="B69" s="9" t="s">
        <v>198</v>
      </c>
      <c r="C69" s="9" t="s">
        <v>199</v>
      </c>
      <c r="D69" s="8">
        <v>1.89148690178563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1.61014061156822</v>
      </c>
      <c r="K69" s="8">
        <v>0</v>
      </c>
      <c r="L69" s="8">
        <v>0</v>
      </c>
      <c r="M69" s="8">
        <v>0</v>
      </c>
    </row>
    <row r="70" spans="1:13">
      <c r="A70" s="9" t="s">
        <v>305</v>
      </c>
      <c r="B70" s="9" t="s">
        <v>36</v>
      </c>
      <c r="C70" s="9" t="s">
        <v>130</v>
      </c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>
      <c r="A71" s="9" t="s">
        <v>305</v>
      </c>
      <c r="B71" s="9" t="s">
        <v>200</v>
      </c>
      <c r="C71" s="9" t="s">
        <v>97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</row>
    <row r="72" spans="1:13">
      <c r="A72" s="9" t="s">
        <v>305</v>
      </c>
      <c r="B72" s="9" t="s">
        <v>200</v>
      </c>
      <c r="C72" s="9" t="s">
        <v>98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1.77649154974077</v>
      </c>
      <c r="K72" s="8">
        <v>0</v>
      </c>
      <c r="L72" s="8">
        <v>0</v>
      </c>
      <c r="M72" s="8">
        <v>0</v>
      </c>
    </row>
    <row r="73" spans="1:13">
      <c r="A73" s="9" t="s">
        <v>305</v>
      </c>
      <c r="B73" s="9" t="s">
        <v>200</v>
      </c>
      <c r="C73" s="9" t="s">
        <v>95</v>
      </c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>
      <c r="A74" s="9" t="s">
        <v>305</v>
      </c>
      <c r="B74" s="9" t="s">
        <v>200</v>
      </c>
      <c r="C74" s="9" t="s">
        <v>93</v>
      </c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>
      <c r="A75" s="9" t="s">
        <v>305</v>
      </c>
      <c r="B75" s="9" t="s">
        <v>200</v>
      </c>
      <c r="C75" s="9" t="s">
        <v>96</v>
      </c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>
      <c r="A76" s="9" t="s">
        <v>305</v>
      </c>
      <c r="B76" s="9" t="s">
        <v>200</v>
      </c>
      <c r="C76" s="9" t="s">
        <v>94</v>
      </c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>
      <c r="A77" s="9" t="s">
        <v>305</v>
      </c>
      <c r="B77" s="9" t="s">
        <v>201</v>
      </c>
      <c r="C77" s="9" t="s">
        <v>202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4.68973973493693</v>
      </c>
    </row>
    <row r="78" spans="1:13">
      <c r="A78" s="9" t="s">
        <v>306</v>
      </c>
      <c r="B78" s="9" t="s">
        <v>188</v>
      </c>
      <c r="C78" s="9" t="s">
        <v>189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</row>
    <row r="79" spans="1:13">
      <c r="A79" s="9" t="s">
        <v>306</v>
      </c>
      <c r="B79" s="9" t="s">
        <v>190</v>
      </c>
      <c r="C79" s="9" t="s">
        <v>191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</row>
    <row r="80" spans="1:13">
      <c r="A80" s="9" t="s">
        <v>306</v>
      </c>
      <c r="B80" s="9" t="s">
        <v>192</v>
      </c>
      <c r="C80" s="9" t="s">
        <v>193</v>
      </c>
      <c r="D80" s="8">
        <v>0</v>
      </c>
      <c r="E80" s="8">
        <v>0</v>
      </c>
      <c r="F80" s="8">
        <v>0</v>
      </c>
      <c r="G80" s="8">
        <v>12.4533553392848</v>
      </c>
      <c r="H80" s="8">
        <v>0</v>
      </c>
      <c r="I80" s="8">
        <v>0</v>
      </c>
      <c r="J80" s="8">
        <v>0</v>
      </c>
      <c r="K80" s="8">
        <v>0</v>
      </c>
      <c r="L80" s="8">
        <v>12.0625448947091</v>
      </c>
      <c r="M80" s="8">
        <v>0</v>
      </c>
    </row>
    <row r="81" spans="1:13">
      <c r="A81" s="9" t="s">
        <v>306</v>
      </c>
      <c r="B81" s="9" t="s">
        <v>192</v>
      </c>
      <c r="C81" s="9" t="s">
        <v>194</v>
      </c>
      <c r="D81" s="8">
        <v>0</v>
      </c>
      <c r="E81" s="8">
        <v>0</v>
      </c>
      <c r="F81" s="8">
        <v>0</v>
      </c>
      <c r="G81" s="8">
        <v>36.9045955621493</v>
      </c>
      <c r="H81" s="8">
        <v>0</v>
      </c>
      <c r="I81" s="8">
        <v>0</v>
      </c>
      <c r="J81" s="8">
        <v>0</v>
      </c>
      <c r="K81" s="8">
        <v>0</v>
      </c>
      <c r="L81" s="8">
        <v>1.65014453199513</v>
      </c>
      <c r="M81" s="8">
        <v>5.73426260037644</v>
      </c>
    </row>
    <row r="82" spans="1:13">
      <c r="A82" s="9" t="s">
        <v>306</v>
      </c>
      <c r="B82" s="9" t="s">
        <v>195</v>
      </c>
      <c r="C82" s="9" t="s">
        <v>196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</row>
    <row r="83" spans="1:13">
      <c r="A83" s="9" t="s">
        <v>306</v>
      </c>
      <c r="B83" s="9" t="s">
        <v>195</v>
      </c>
      <c r="C83" s="9" t="s">
        <v>197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</row>
    <row r="84" spans="1:13">
      <c r="A84" s="9" t="s">
        <v>306</v>
      </c>
      <c r="B84" s="9" t="s">
        <v>198</v>
      </c>
      <c r="C84" s="9" t="s">
        <v>199</v>
      </c>
      <c r="D84" s="8">
        <v>0</v>
      </c>
      <c r="E84" s="8">
        <v>0</v>
      </c>
      <c r="F84" s="8">
        <v>0</v>
      </c>
      <c r="G84" s="8">
        <v>17.294344007545</v>
      </c>
      <c r="H84" s="8">
        <v>0</v>
      </c>
      <c r="I84" s="8">
        <v>8.21595902155912</v>
      </c>
      <c r="J84" s="8">
        <v>0</v>
      </c>
      <c r="K84" s="8">
        <v>0</v>
      </c>
      <c r="L84" s="8">
        <v>3.52112529495391</v>
      </c>
      <c r="M84" s="8">
        <v>0</v>
      </c>
    </row>
    <row r="85" spans="1:13">
      <c r="A85" s="9" t="s">
        <v>306</v>
      </c>
      <c r="B85" s="9" t="s">
        <v>36</v>
      </c>
      <c r="C85" s="9" t="s">
        <v>130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</row>
    <row r="86" spans="1:13">
      <c r="A86" s="9" t="s">
        <v>306</v>
      </c>
      <c r="B86" s="9" t="s">
        <v>200</v>
      </c>
      <c r="C86" s="9" t="s">
        <v>97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4.85434469468398</v>
      </c>
      <c r="M86" s="8">
        <v>0</v>
      </c>
    </row>
    <row r="87" spans="1:13">
      <c r="A87" s="9" t="s">
        <v>306</v>
      </c>
      <c r="B87" s="9" t="s">
        <v>200</v>
      </c>
      <c r="C87" s="9" t="s">
        <v>98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1.09869383647565</v>
      </c>
      <c r="M87" s="8">
        <v>0</v>
      </c>
    </row>
    <row r="88" spans="1:13">
      <c r="A88" s="9" t="s">
        <v>306</v>
      </c>
      <c r="B88" s="9" t="s">
        <v>200</v>
      </c>
      <c r="C88" s="9" t="s">
        <v>95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7.86114417538713</v>
      </c>
      <c r="J88" s="8">
        <v>0</v>
      </c>
      <c r="K88" s="8">
        <v>3.36906178945163</v>
      </c>
      <c r="L88" s="8">
        <v>0</v>
      </c>
      <c r="M88" s="8">
        <v>0</v>
      </c>
    </row>
    <row r="89" spans="1:13">
      <c r="A89" s="9" t="s">
        <v>306</v>
      </c>
      <c r="B89" s="9" t="s">
        <v>200</v>
      </c>
      <c r="C89" s="9" t="s">
        <v>93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4.54295951323606</v>
      </c>
      <c r="L89" s="8">
        <v>0</v>
      </c>
      <c r="M89" s="8">
        <v>0</v>
      </c>
    </row>
    <row r="90" spans="1:13">
      <c r="A90" s="9" t="s">
        <v>306</v>
      </c>
      <c r="B90" s="9" t="s">
        <v>200</v>
      </c>
      <c r="C90" s="9" t="s">
        <v>96</v>
      </c>
      <c r="D90" s="8">
        <v>0</v>
      </c>
      <c r="E90" s="8">
        <v>3.97001025348059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5.34163104601286</v>
      </c>
      <c r="M90" s="8">
        <v>0</v>
      </c>
    </row>
    <row r="91" spans="1:13">
      <c r="A91" s="9" t="s">
        <v>306</v>
      </c>
      <c r="B91" s="9" t="s">
        <v>200</v>
      </c>
      <c r="C91" s="9" t="s">
        <v>94</v>
      </c>
      <c r="D91" s="8">
        <v>0</v>
      </c>
      <c r="E91" s="8">
        <v>0</v>
      </c>
      <c r="F91" s="8">
        <v>10.3483518522576</v>
      </c>
      <c r="G91" s="8">
        <v>4.43500793668182</v>
      </c>
      <c r="H91" s="8">
        <v>0</v>
      </c>
      <c r="I91" s="8">
        <v>0</v>
      </c>
      <c r="J91" s="8">
        <v>0</v>
      </c>
      <c r="K91" s="8">
        <v>0</v>
      </c>
      <c r="L91" s="8">
        <v>0.954008781454994</v>
      </c>
      <c r="M91" s="8">
        <v>0</v>
      </c>
    </row>
    <row r="92" spans="1:13">
      <c r="A92" s="9" t="s">
        <v>306</v>
      </c>
      <c r="B92" s="9" t="s">
        <v>201</v>
      </c>
      <c r="C92" s="9" t="s">
        <v>202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2.59998632586838</v>
      </c>
      <c r="M92" s="8">
        <v>5.96309276310994</v>
      </c>
    </row>
  </sheetData>
  <mergeCells count="2">
    <mergeCell ref="D1:H1"/>
    <mergeCell ref="I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Fig. S2a</vt:lpstr>
      <vt:lpstr>Fig. S2b</vt:lpstr>
      <vt:lpstr>Fig. S2c</vt:lpstr>
      <vt:lpstr>Fig. S2d</vt:lpstr>
      <vt:lpstr>Fig. S2e</vt:lpstr>
      <vt:lpstr>Fig. S2fg</vt:lpstr>
      <vt:lpstr>Fig. S3</vt:lpstr>
      <vt:lpstr>Fig. S4</vt:lpstr>
      <vt:lpstr>Fig. S5</vt:lpstr>
      <vt:lpstr>Fig. S9</vt:lpstr>
      <vt:lpstr>Fig. S10</vt:lpstr>
      <vt:lpstr>Fig. S12</vt:lpstr>
      <vt:lpstr>Fig. S15</vt:lpstr>
      <vt:lpstr>Fig.18</vt:lpstr>
      <vt:lpstr>Fig. S19</vt:lpstr>
      <vt:lpstr>Fig. S20</vt:lpstr>
      <vt:lpstr>Fig. S22</vt:lpstr>
      <vt:lpstr>Fig. S23</vt:lpstr>
      <vt:lpstr>Fig. S24</vt:lpstr>
      <vt:lpstr>Fig. S25</vt:lpstr>
      <vt:lpstr>Fig. S26</vt:lpstr>
      <vt:lpstr>Fig. S27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2025-06-30T03:19:00Z</dcterms:created>
  <dcterms:modified xsi:type="dcterms:W3CDTF">2026-08-03T14:41:43Z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CDF6EFB3D4B14D7EB34C1CE200964585_13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