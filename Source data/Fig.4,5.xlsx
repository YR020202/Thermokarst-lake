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activeTab="2"/>
  </bookViews>
  <sheets>
    <sheet name="Fig. 4a" sheetId="1" r:id="rId1"/>
    <sheet name="Fig. 4b" sheetId="2" r:id="rId2"/>
    <sheet name="Fig. 4c" sheetId="3" r:id="rId3"/>
    <sheet name="Fig. 4e and Fig.5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<sst xmlns="http://schemas.openxmlformats.org/spreadsheetml/2006/main" count="928" uniqueCount="100">
  <si>
    <t>OTU abusolute abundance (amoA/g-soil)</t>
  </si>
  <si>
    <t>Group</t>
  </si>
  <si>
    <t>Other OTU</t>
  </si>
  <si>
    <t>OTU1</t>
  </si>
  <si>
    <t>OTU3</t>
  </si>
  <si>
    <t>OTU4</t>
  </si>
  <si>
    <t>OTU11</t>
  </si>
  <si>
    <t>OTU6</t>
  </si>
  <si>
    <t>OTU12</t>
  </si>
  <si>
    <t>OTU10</t>
  </si>
  <si>
    <t>OTU20</t>
  </si>
  <si>
    <t>OTU15</t>
  </si>
  <si>
    <t>OTU7</t>
  </si>
  <si>
    <t>L alkalinity</t>
  </si>
  <si>
    <t>H alkalinity</t>
  </si>
  <si>
    <t>Nitrifier abundance (normalized coverage)</t>
  </si>
  <si>
    <t>Site</t>
  </si>
  <si>
    <t>AOBTKL-Sed-bin.346</t>
  </si>
  <si>
    <t>NSαTKL-Sed-bin.115</t>
  </si>
  <si>
    <t>NSβTKL-Sed-bin.29</t>
  </si>
  <si>
    <t>NSγTKL-Sed-bin.299</t>
  </si>
  <si>
    <t>NSγTKL-Sed-bin.398</t>
  </si>
  <si>
    <t>NSδTKL-Sed-bin.174</t>
  </si>
  <si>
    <t>NSδTKL-Sed-bin.419</t>
  </si>
  <si>
    <t>NSεTKL-Sed-bin.66</t>
  </si>
  <si>
    <t>TKL-Sed-bin.104</t>
  </si>
  <si>
    <t>TKL-Sed-bin.116</t>
  </si>
  <si>
    <t>TKL-Sed-bin.154</t>
  </si>
  <si>
    <t>TKL-Sed-bin.378</t>
  </si>
  <si>
    <t>TKL-Sed-bin.51</t>
  </si>
  <si>
    <t>TKL-Sed-bin.70</t>
  </si>
  <si>
    <t>ZTKL-Sed-bin.222</t>
  </si>
  <si>
    <t>Subalkaline</t>
  </si>
  <si>
    <t>S1</t>
  </si>
  <si>
    <t>S2</t>
  </si>
  <si>
    <t>S3</t>
  </si>
  <si>
    <t>S4</t>
  </si>
  <si>
    <t>S5</t>
  </si>
  <si>
    <t>Alkaline</t>
  </si>
  <si>
    <t>S6</t>
  </si>
  <si>
    <t>S7</t>
  </si>
  <si>
    <t>S8</t>
  </si>
  <si>
    <t>S9</t>
  </si>
  <si>
    <t>S10</t>
  </si>
  <si>
    <t>normalized coverage</t>
  </si>
  <si>
    <t>CMX</t>
  </si>
  <si>
    <t>AOA</t>
  </si>
  <si>
    <t>AOB</t>
  </si>
  <si>
    <t>Normalized expression</t>
  </si>
  <si>
    <t>Gene</t>
  </si>
  <si>
    <t>Type</t>
  </si>
  <si>
    <t>MAG-ID</t>
  </si>
  <si>
    <t>Average</t>
  </si>
  <si>
    <t>log2(Average expression + 1)</t>
  </si>
  <si>
    <t>amoA</t>
  </si>
  <si>
    <t>CMX-B</t>
  </si>
  <si>
    <t>TKL-sed-bin.378</t>
  </si>
  <si>
    <t>TKL-sed-bin.104</t>
  </si>
  <si>
    <t>TKL-sed-bin.154</t>
  </si>
  <si>
    <t>TKL-sed-bin.116</t>
  </si>
  <si>
    <t>TKL-sed-bin.51</t>
  </si>
  <si>
    <t>TKL-sed-bin.70</t>
  </si>
  <si>
    <t>CMX-A</t>
  </si>
  <si>
    <t>TKL-sed-bin.222</t>
  </si>
  <si>
    <t>amoB</t>
  </si>
  <si>
    <t>amoC</t>
  </si>
  <si>
    <t>amoABC</t>
  </si>
  <si>
    <t>amt</t>
  </si>
  <si>
    <t>nxrA</t>
  </si>
  <si>
    <t>nxB</t>
  </si>
  <si>
    <t>nxrAB</t>
  </si>
  <si>
    <t>Urt</t>
  </si>
  <si>
    <t>Urease</t>
  </si>
  <si>
    <t>nirK</t>
  </si>
  <si>
    <t>GltB/GltD</t>
  </si>
  <si>
    <t>GlnA</t>
  </si>
  <si>
    <t>ProABC</t>
  </si>
  <si>
    <t>Urea cycle</t>
  </si>
  <si>
    <t>PorABG</t>
  </si>
  <si>
    <t>Glycolysis</t>
  </si>
  <si>
    <t>Complex I</t>
  </si>
  <si>
    <t>Complex III</t>
  </si>
  <si>
    <t>Complex IV cbb3</t>
  </si>
  <si>
    <t>Complex IV bd</t>
  </si>
  <si>
    <t>F-typeATPase</t>
  </si>
  <si>
    <t>HSP20</t>
  </si>
  <si>
    <t>DnaK</t>
  </si>
  <si>
    <t>GroEL</t>
  </si>
  <si>
    <t>GroES</t>
  </si>
  <si>
    <t>GrpE</t>
  </si>
  <si>
    <t>Pentose phosphate pathway</t>
  </si>
  <si>
    <t>Hydrogenase maturation</t>
  </si>
  <si>
    <t>roTCA</t>
  </si>
  <si>
    <t>SOD1/SOD2</t>
  </si>
  <si>
    <t>Clp family</t>
  </si>
  <si>
    <t>Sulfur metabolism</t>
  </si>
  <si>
    <t>K02036-K02040</t>
  </si>
  <si>
    <t>Oxidative Phosphorylation</t>
  </si>
  <si>
    <t>ACS</t>
  </si>
  <si>
    <t>PHA synthesis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</si>
</sst>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rgb="FFFF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8" applyNumberFormat="0" applyAlignment="0" applyProtection="0">
      <alignment vertical="center"/>
    </xf>
    <xf numFmtId="0" fontId="12" fillId="9" borderId="9" applyNumberFormat="0" applyAlignment="0" applyProtection="0">
      <alignment vertical="center"/>
    </xf>
    <xf numFmtId="0" fontId="13" fillId="9" borderId="8" applyNumberFormat="0" applyAlignment="0" applyProtection="0">
      <alignment vertical="center"/>
    </xf>
    <xf numFmtId="0" fontId="14" fillId="10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vertical="center"/>
    </xf>
    <xf numFmtId="176" fontId="1" fillId="0" borderId="1" xfId="0" applyNumberFormat="1" applyFont="1" applyFill="1" applyBorder="1" applyAlignment="1">
      <alignment vertical="center"/>
    </xf>
    <xf numFmtId="176" fontId="1" fillId="0" borderId="1" xfId="0" applyNumberFormat="1" applyFont="1" applyFill="1" applyBorder="1" applyAlignment="1">
      <alignment horizontal="center" vertical="center"/>
    </xf>
    <xf numFmtId="176" fontId="1" fillId="0" borderId="0" xfId="0" applyNumberFormat="1" applyFont="1" applyFill="1" applyAlignment="1">
      <alignment vertical="center"/>
    </xf>
    <xf numFmtId="176" fontId="1" fillId="0" borderId="0" xfId="0" applyNumberFormat="1" applyFont="1" applyFill="1" applyAlignment="1">
      <alignment horizontal="center" vertical="center"/>
    </xf>
    <xf numFmtId="176" fontId="1" fillId="0" borderId="3" xfId="0" applyNumberFormat="1" applyFont="1" applyFill="1" applyBorder="1" applyAlignment="1">
      <alignment vertical="center"/>
    </xf>
    <xf numFmtId="0" fontId="1" fillId="0" borderId="1" xfId="0" applyNumberFormat="1" applyFont="1" applyFill="1" applyBorder="1" applyAlignment="1">
      <alignment vertical="center"/>
    </xf>
    <xf numFmtId="176" fontId="1" fillId="0" borderId="4" xfId="0" applyNumberFormat="1" applyFont="1" applyFill="1" applyBorder="1" applyAlignment="1">
      <alignment vertical="center"/>
    </xf>
    <xf numFmtId="176" fontId="1" fillId="0" borderId="4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workbookViewId="0">
      <selection activeCell="A1" sqref="A1"/>
    </sheetView>
  </sheetViews>
  <sheetFormatPr defaultColWidth="8.72727272727273" defaultRowHeight="14"/>
  <cols>
    <col min="2" max="2" width="12.4545454545455" customWidth="1"/>
  </cols>
  <sheetData>
    <row r="1" spans="1:12">
      <c r="A1" s="16"/>
      <c r="B1" s="4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>
      <c r="A3" s="17" t="s">
        <v>13</v>
      </c>
      <c r="B3" s="3">
        <v>19042262.407</v>
      </c>
      <c r="C3" s="3">
        <v>300800.073</v>
      </c>
      <c r="D3" s="3">
        <v>822.607</v>
      </c>
      <c r="E3" s="3">
        <v>2725092.365</v>
      </c>
      <c r="F3" s="3">
        <v>820482.241</v>
      </c>
      <c r="G3" s="3">
        <v>151771.049</v>
      </c>
      <c r="H3" s="3">
        <v>100220.991</v>
      </c>
      <c r="I3" s="3">
        <v>1906049.687</v>
      </c>
      <c r="J3" s="3">
        <v>126338.773</v>
      </c>
      <c r="K3" s="3">
        <v>2235641.016</v>
      </c>
      <c r="L3" s="3">
        <v>309437.45</v>
      </c>
    </row>
    <row r="4" spans="1:12">
      <c r="A4" s="17"/>
      <c r="B4" s="3">
        <v>57694979.341</v>
      </c>
      <c r="C4" s="3">
        <v>822397.042</v>
      </c>
      <c r="D4" s="3">
        <v>0</v>
      </c>
      <c r="E4" s="3">
        <v>6830922.875</v>
      </c>
      <c r="F4" s="3">
        <v>47486675.912</v>
      </c>
      <c r="G4" s="3">
        <v>1936309.824</v>
      </c>
      <c r="H4" s="3">
        <v>728226.578</v>
      </c>
      <c r="I4" s="3">
        <v>31620641.01</v>
      </c>
      <c r="J4" s="3">
        <v>2129528.107</v>
      </c>
      <c r="K4" s="3">
        <v>7833406.861</v>
      </c>
      <c r="L4" s="3">
        <v>250245.815</v>
      </c>
    </row>
    <row r="5" spans="1:12">
      <c r="A5" s="17"/>
      <c r="B5" s="3">
        <v>17351516.122</v>
      </c>
      <c r="C5" s="3">
        <v>270951.364</v>
      </c>
      <c r="D5" s="3">
        <v>223880.734</v>
      </c>
      <c r="E5" s="3">
        <v>1223667.646</v>
      </c>
      <c r="F5" s="3">
        <v>15512556.058</v>
      </c>
      <c r="G5" s="3">
        <v>548482.493</v>
      </c>
      <c r="H5" s="3">
        <v>311610.939</v>
      </c>
      <c r="I5" s="3">
        <v>8560106.031</v>
      </c>
      <c r="J5" s="3">
        <v>70352.876</v>
      </c>
      <c r="K5" s="3">
        <v>2625832.517</v>
      </c>
      <c r="L5" s="3">
        <v>141043.176</v>
      </c>
    </row>
    <row r="6" spans="1:12">
      <c r="A6" s="17"/>
      <c r="B6" s="3">
        <v>497502388.284</v>
      </c>
      <c r="C6" s="3">
        <v>2038944.214</v>
      </c>
      <c r="D6" s="3">
        <v>1845924.162</v>
      </c>
      <c r="E6" s="3">
        <v>2367893.881</v>
      </c>
      <c r="F6" s="3">
        <v>11901997.027</v>
      </c>
      <c r="G6" s="3">
        <v>1462602.65</v>
      </c>
      <c r="H6" s="3">
        <v>1639311.148</v>
      </c>
      <c r="I6" s="3">
        <v>12589800.875</v>
      </c>
      <c r="J6" s="3">
        <v>878105.308</v>
      </c>
      <c r="K6" s="3">
        <v>494783.796</v>
      </c>
      <c r="L6" s="3">
        <v>1257278248.738</v>
      </c>
    </row>
    <row r="7" spans="1:12">
      <c r="A7" s="17"/>
      <c r="B7" s="3">
        <v>24492796.161</v>
      </c>
      <c r="C7" s="3">
        <v>3752878.629</v>
      </c>
      <c r="D7" s="3">
        <v>4790.372</v>
      </c>
      <c r="E7" s="3">
        <v>22717458.917</v>
      </c>
      <c r="F7" s="3">
        <v>2437165.016</v>
      </c>
      <c r="G7" s="3">
        <v>1073925.866</v>
      </c>
      <c r="H7" s="3">
        <v>750701.788</v>
      </c>
      <c r="I7" s="3">
        <v>1951824.649</v>
      </c>
      <c r="J7" s="3">
        <v>22818056.739</v>
      </c>
      <c r="K7" s="3">
        <v>1567334.229</v>
      </c>
      <c r="L7" s="3">
        <v>14443855.38</v>
      </c>
    </row>
    <row r="8" spans="1:12">
      <c r="A8" s="18" t="s">
        <v>14</v>
      </c>
      <c r="B8" s="3">
        <v>57111331.462</v>
      </c>
      <c r="C8" s="3">
        <v>12320991.681</v>
      </c>
      <c r="D8" s="3">
        <v>2042456.044</v>
      </c>
      <c r="E8" s="3">
        <v>796602.587</v>
      </c>
      <c r="F8" s="3">
        <v>2374152.471</v>
      </c>
      <c r="G8" s="3">
        <v>8011454.158</v>
      </c>
      <c r="H8" s="3">
        <v>11205971.707</v>
      </c>
      <c r="I8" s="3">
        <v>1474113.156</v>
      </c>
      <c r="J8" s="3">
        <v>959725.102</v>
      </c>
      <c r="K8" s="3">
        <v>2356260.713</v>
      </c>
      <c r="L8" s="3">
        <v>4227626.817</v>
      </c>
    </row>
    <row r="9" spans="1:12">
      <c r="A9" s="18"/>
      <c r="B9" s="3">
        <v>264994390.613</v>
      </c>
      <c r="C9" s="3">
        <v>181400372.201</v>
      </c>
      <c r="D9" s="3">
        <v>203982.882</v>
      </c>
      <c r="E9" s="3">
        <v>2311424</v>
      </c>
      <c r="F9" s="3">
        <v>5402108.447</v>
      </c>
      <c r="G9" s="3">
        <v>142757075.86</v>
      </c>
      <c r="H9" s="3">
        <v>79561345.602</v>
      </c>
      <c r="I9" s="3">
        <v>2601354.725</v>
      </c>
      <c r="J9" s="3">
        <v>1039395.919</v>
      </c>
      <c r="K9" s="3">
        <v>36235610.756</v>
      </c>
      <c r="L9" s="3">
        <v>236492939.788</v>
      </c>
    </row>
    <row r="10" spans="1:12">
      <c r="A10" s="18"/>
      <c r="B10" s="3">
        <v>238419351.363</v>
      </c>
      <c r="C10" s="3">
        <v>328955475.359</v>
      </c>
      <c r="D10" s="3">
        <v>1821424853.933</v>
      </c>
      <c r="E10" s="3">
        <v>360288424.462</v>
      </c>
      <c r="F10" s="3">
        <v>24226106.31</v>
      </c>
      <c r="G10" s="3">
        <v>42508248.844</v>
      </c>
      <c r="H10" s="3">
        <v>9662585.255</v>
      </c>
      <c r="I10" s="3">
        <v>24320043.612</v>
      </c>
      <c r="J10" s="3">
        <v>1966204.911</v>
      </c>
      <c r="K10" s="3">
        <v>5862983.343</v>
      </c>
      <c r="L10" s="3">
        <v>42365723.282</v>
      </c>
    </row>
    <row r="11" spans="1:12">
      <c r="A11" s="18"/>
      <c r="B11" s="3">
        <v>351903361.342</v>
      </c>
      <c r="C11" s="3">
        <v>2076538933.323</v>
      </c>
      <c r="D11" s="3">
        <v>10074416.103</v>
      </c>
      <c r="E11" s="3">
        <v>96726558.3</v>
      </c>
      <c r="F11" s="3">
        <v>167873544.464</v>
      </c>
      <c r="G11" s="3">
        <v>76109065.402</v>
      </c>
      <c r="H11" s="3">
        <v>16982689.361</v>
      </c>
      <c r="I11" s="3">
        <v>95789236.915</v>
      </c>
      <c r="J11" s="3">
        <v>14038355.393</v>
      </c>
      <c r="K11" s="3">
        <v>28223390.851</v>
      </c>
      <c r="L11" s="3">
        <v>462407112.97</v>
      </c>
    </row>
    <row r="12" spans="1:12">
      <c r="A12" s="18"/>
      <c r="B12" s="3">
        <v>3596488939.944</v>
      </c>
      <c r="C12" s="3">
        <v>1767755568.454</v>
      </c>
      <c r="D12" s="3">
        <v>2831963.644</v>
      </c>
      <c r="E12" s="3">
        <v>120515786.17</v>
      </c>
      <c r="F12" s="3">
        <v>158628104.971</v>
      </c>
      <c r="G12" s="3">
        <v>1040474884.969</v>
      </c>
      <c r="H12" s="3">
        <v>1015111170.18</v>
      </c>
      <c r="I12" s="3">
        <v>126437164.698</v>
      </c>
      <c r="J12" s="3">
        <v>170871341.734</v>
      </c>
      <c r="K12" s="3">
        <v>687289924.153</v>
      </c>
      <c r="L12" s="3">
        <v>1776928460.795</v>
      </c>
    </row>
  </sheetData>
  <mergeCells count="3">
    <mergeCell ref="B1:L1"/>
    <mergeCell ref="A3:A7"/>
    <mergeCell ref="A8:A1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2"/>
  <sheetViews>
    <sheetView workbookViewId="0">
      <selection activeCell="A1" sqref="A1"/>
    </sheetView>
  </sheetViews>
  <sheetFormatPr defaultColWidth="8.72727272727273" defaultRowHeight="14"/>
  <sheetData>
    <row r="1" spans="1:17">
      <c r="A1" s="1"/>
      <c r="B1" s="16"/>
      <c r="C1" s="4" t="s">
        <v>15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1:17">
      <c r="A2" s="3" t="s">
        <v>1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27</v>
      </c>
      <c r="N2" s="3" t="s">
        <v>28</v>
      </c>
      <c r="O2" s="3" t="s">
        <v>29</v>
      </c>
      <c r="P2" s="3" t="s">
        <v>30</v>
      </c>
      <c r="Q2" s="3" t="s">
        <v>31</v>
      </c>
    </row>
    <row r="3" spans="1:17">
      <c r="A3" s="14" t="s">
        <v>32</v>
      </c>
      <c r="B3" s="3" t="s">
        <v>33</v>
      </c>
      <c r="C3" s="6">
        <v>0</v>
      </c>
      <c r="D3" s="6">
        <v>44.01492314958</v>
      </c>
      <c r="E3" s="6">
        <v>9.18903698300567</v>
      </c>
      <c r="F3" s="6">
        <v>9.12425657688282</v>
      </c>
      <c r="G3" s="6">
        <v>0</v>
      </c>
      <c r="H3" s="6">
        <v>4.8300767275838</v>
      </c>
      <c r="I3" s="6">
        <v>4.58072334944061</v>
      </c>
      <c r="J3" s="6">
        <v>3.27627035083755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</row>
    <row r="4" spans="1:17">
      <c r="A4" s="14"/>
      <c r="B4" s="3" t="s">
        <v>34</v>
      </c>
      <c r="C4" s="6">
        <v>0</v>
      </c>
      <c r="D4" s="6">
        <v>37.6554584893308</v>
      </c>
      <c r="E4" s="6">
        <v>7.79022903662402</v>
      </c>
      <c r="F4" s="6">
        <v>7.8187180254023</v>
      </c>
      <c r="G4" s="6">
        <v>0</v>
      </c>
      <c r="H4" s="6">
        <v>4.2912581831124</v>
      </c>
      <c r="I4" s="6">
        <v>5.99322000861589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</row>
    <row r="5" spans="1:17">
      <c r="A5" s="14"/>
      <c r="B5" s="3" t="s">
        <v>35</v>
      </c>
      <c r="C5" s="6">
        <v>0</v>
      </c>
      <c r="D5" s="6">
        <v>0.161567552643439</v>
      </c>
      <c r="E5" s="6">
        <v>0.701671932324822</v>
      </c>
      <c r="F5" s="6">
        <v>2.77938216967754</v>
      </c>
      <c r="G5" s="6">
        <v>1.85327910284749</v>
      </c>
      <c r="H5" s="6">
        <v>20.1352388736587</v>
      </c>
      <c r="I5" s="6">
        <v>17.3044802438601</v>
      </c>
      <c r="J5" s="6">
        <v>25.2332993516662</v>
      </c>
      <c r="K5" s="6">
        <v>0</v>
      </c>
      <c r="L5" s="6">
        <v>1.68677289164482</v>
      </c>
      <c r="M5" s="6">
        <v>26.8536210802708</v>
      </c>
      <c r="N5" s="6">
        <v>0.365587012021332</v>
      </c>
      <c r="O5" s="6">
        <v>0.498788254807922</v>
      </c>
      <c r="P5" s="6">
        <v>2.29449034784809</v>
      </c>
      <c r="Q5" s="6">
        <v>0</v>
      </c>
    </row>
    <row r="6" spans="1:17">
      <c r="A6" s="14"/>
      <c r="B6" s="3" t="s">
        <v>36</v>
      </c>
      <c r="C6" s="6">
        <v>0</v>
      </c>
      <c r="D6" s="6">
        <v>26.8646690391833</v>
      </c>
      <c r="E6" s="6">
        <v>126.132769546721</v>
      </c>
      <c r="F6" s="6">
        <v>3.15547320077202</v>
      </c>
      <c r="G6" s="6">
        <v>36.8274773221136</v>
      </c>
      <c r="H6" s="6">
        <v>0</v>
      </c>
      <c r="I6" s="6">
        <v>0</v>
      </c>
      <c r="J6" s="6">
        <v>335.777558132322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0.427788749036997</v>
      </c>
      <c r="Q6" s="6">
        <v>0</v>
      </c>
    </row>
    <row r="7" spans="1:17">
      <c r="A7" s="14"/>
      <c r="B7" s="3" t="s">
        <v>37</v>
      </c>
      <c r="C7" s="6">
        <v>0</v>
      </c>
      <c r="D7" s="6">
        <v>1.93603714760395</v>
      </c>
      <c r="E7" s="6">
        <v>3.37321396888127</v>
      </c>
      <c r="F7" s="6">
        <v>9.28849888234297</v>
      </c>
      <c r="G7" s="6">
        <v>6.1000054025224</v>
      </c>
      <c r="H7" s="6">
        <v>66.9223849596879</v>
      </c>
      <c r="I7" s="6">
        <v>12.6013043041313</v>
      </c>
      <c r="J7" s="6">
        <v>27.0480040441618</v>
      </c>
      <c r="K7" s="6">
        <v>0</v>
      </c>
      <c r="L7" s="6">
        <v>2.42604588273356</v>
      </c>
      <c r="M7" s="6">
        <v>26.8556320841928</v>
      </c>
      <c r="N7" s="6">
        <v>0.266369893085323</v>
      </c>
      <c r="O7" s="6">
        <v>0.233429781317245</v>
      </c>
      <c r="P7" s="6">
        <v>1.98868298104775</v>
      </c>
      <c r="Q7" s="6">
        <v>0.463662219991293</v>
      </c>
    </row>
    <row r="8" spans="1:17">
      <c r="A8" s="15" t="s">
        <v>38</v>
      </c>
      <c r="B8" s="3" t="s">
        <v>39</v>
      </c>
      <c r="C8" s="6">
        <v>52.3745689446482</v>
      </c>
      <c r="D8" s="6">
        <v>7.94611878140684</v>
      </c>
      <c r="E8" s="6">
        <v>1.82196839394336</v>
      </c>
      <c r="F8" s="6">
        <v>13.3226799957391</v>
      </c>
      <c r="G8" s="6">
        <v>7.09576890721582</v>
      </c>
      <c r="H8" s="6">
        <v>11.5909211171702</v>
      </c>
      <c r="I8" s="6">
        <v>22.171545192642</v>
      </c>
      <c r="J8" s="6">
        <v>0.537523768238501</v>
      </c>
      <c r="K8" s="6">
        <v>52.2476977179141</v>
      </c>
      <c r="L8" s="6">
        <v>0</v>
      </c>
      <c r="M8" s="6">
        <v>0</v>
      </c>
      <c r="N8" s="6">
        <v>6.22489897394203</v>
      </c>
      <c r="O8" s="6">
        <v>0</v>
      </c>
      <c r="P8" s="6">
        <v>0.245329239130598</v>
      </c>
      <c r="Q8" s="6">
        <v>14.094309254469</v>
      </c>
    </row>
    <row r="9" spans="1:17">
      <c r="A9" s="15"/>
      <c r="B9" s="3" t="s">
        <v>40</v>
      </c>
      <c r="C9" s="6">
        <v>0</v>
      </c>
      <c r="D9" s="6">
        <v>1.22251440552496</v>
      </c>
      <c r="E9" s="6">
        <v>0.401317130373287</v>
      </c>
      <c r="F9" s="6">
        <v>2.94035037040731</v>
      </c>
      <c r="G9" s="6">
        <v>2.31020021843048</v>
      </c>
      <c r="H9" s="6">
        <v>29.3262160605156</v>
      </c>
      <c r="I9" s="6">
        <v>35.7081938199476</v>
      </c>
      <c r="J9" s="6">
        <v>0.601352327673898</v>
      </c>
      <c r="K9" s="6">
        <v>18.0620254742827</v>
      </c>
      <c r="L9" s="6">
        <v>61.5422339585566</v>
      </c>
      <c r="M9" s="6">
        <v>21.7939084855024</v>
      </c>
      <c r="N9" s="6">
        <v>23.2476828268737</v>
      </c>
      <c r="O9" s="6">
        <v>58.1950940628679</v>
      </c>
      <c r="P9" s="6">
        <v>54.6053449779159</v>
      </c>
      <c r="Q9" s="6">
        <v>128.07315531099</v>
      </c>
    </row>
    <row r="10" spans="1:17">
      <c r="A10" s="15"/>
      <c r="B10" s="3" t="s">
        <v>41</v>
      </c>
      <c r="C10" s="6">
        <v>0</v>
      </c>
      <c r="D10" s="6">
        <v>2.1824962503316</v>
      </c>
      <c r="E10" s="6">
        <v>1.56340875301586</v>
      </c>
      <c r="F10" s="6">
        <v>3.68825926429221</v>
      </c>
      <c r="G10" s="6">
        <v>5.08272119734448</v>
      </c>
      <c r="H10" s="6">
        <v>9.8586010460869</v>
      </c>
      <c r="I10" s="6">
        <v>5.98468635772086</v>
      </c>
      <c r="J10" s="6">
        <v>1.33129581851278</v>
      </c>
      <c r="K10" s="6">
        <v>13.2176210485741</v>
      </c>
      <c r="L10" s="6">
        <v>30.0834271244147</v>
      </c>
      <c r="M10" s="6">
        <v>12.3975799830047</v>
      </c>
      <c r="N10" s="6">
        <v>10.0945379021447</v>
      </c>
      <c r="O10" s="6">
        <v>48.9196985691955</v>
      </c>
      <c r="P10" s="6">
        <v>32.82711068284</v>
      </c>
      <c r="Q10" s="6">
        <v>17.1728222981234</v>
      </c>
    </row>
    <row r="11" spans="1:17">
      <c r="A11" s="15"/>
      <c r="B11" s="3" t="s">
        <v>42</v>
      </c>
      <c r="C11" s="6">
        <v>0</v>
      </c>
      <c r="D11" s="6">
        <v>0</v>
      </c>
      <c r="E11" s="6">
        <v>0</v>
      </c>
      <c r="F11" s="6">
        <v>0.193734747645699</v>
      </c>
      <c r="G11" s="6">
        <v>0.273660459912763</v>
      </c>
      <c r="H11" s="6">
        <v>0.581604455037246</v>
      </c>
      <c r="I11" s="6">
        <v>0.414632777119855</v>
      </c>
      <c r="J11" s="6">
        <v>3.24726377580634</v>
      </c>
      <c r="K11" s="6">
        <v>0.685138195647834</v>
      </c>
      <c r="L11" s="6">
        <v>22.8781327347241</v>
      </c>
      <c r="M11" s="6">
        <v>2.77756251699834</v>
      </c>
      <c r="N11" s="6">
        <v>3.94782904867454</v>
      </c>
      <c r="O11" s="6">
        <v>6.05154558673872</v>
      </c>
      <c r="P11" s="6">
        <v>74.1701616556902</v>
      </c>
      <c r="Q11" s="6">
        <v>31.7496809310739</v>
      </c>
    </row>
    <row r="12" spans="1:17">
      <c r="A12" s="15"/>
      <c r="B12" s="3" t="s">
        <v>43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10.1332804509017</v>
      </c>
      <c r="L12" s="6">
        <v>159.042879304445</v>
      </c>
      <c r="M12" s="6">
        <v>225.808666322191</v>
      </c>
      <c r="N12" s="6">
        <v>95.3718659094538</v>
      </c>
      <c r="O12" s="6">
        <v>24.27472126881</v>
      </c>
      <c r="P12" s="6">
        <v>74.6386353867536</v>
      </c>
      <c r="Q12" s="6">
        <v>17.1153046461947</v>
      </c>
    </row>
  </sheetData>
  <mergeCells count="3">
    <mergeCell ref="C1:Q1"/>
    <mergeCell ref="A3:A7"/>
    <mergeCell ref="A8:A1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abSelected="1" workbookViewId="0">
      <selection activeCell="A1" sqref="A1"/>
    </sheetView>
  </sheetViews>
  <sheetFormatPr defaultColWidth="8.72727272727273" defaultRowHeight="14" outlineLevelCol="4"/>
  <sheetData>
    <row r="1" spans="1:5">
      <c r="A1" s="1"/>
      <c r="B1" s="1"/>
      <c r="C1" s="4" t="s">
        <v>44</v>
      </c>
      <c r="D1" s="4"/>
      <c r="E1" s="4"/>
    </row>
    <row r="2" spans="1:5">
      <c r="A2" s="3" t="s">
        <v>1</v>
      </c>
      <c r="B2" s="3" t="s">
        <v>16</v>
      </c>
      <c r="C2" s="3" t="s">
        <v>45</v>
      </c>
      <c r="D2" s="3" t="s">
        <v>46</v>
      </c>
      <c r="E2" s="3" t="s">
        <v>47</v>
      </c>
    </row>
    <row r="3" spans="1:5">
      <c r="A3" s="14" t="s">
        <v>32</v>
      </c>
      <c r="B3" s="3" t="s">
        <v>33</v>
      </c>
      <c r="C3" s="3">
        <v>56.692</v>
      </c>
      <c r="D3" s="3">
        <v>94.205</v>
      </c>
      <c r="E3" s="3">
        <v>16.073</v>
      </c>
    </row>
    <row r="4" spans="1:5">
      <c r="A4" s="14"/>
      <c r="B4" s="3" t="s">
        <v>34</v>
      </c>
      <c r="C4" s="3">
        <v>55.288</v>
      </c>
      <c r="D4" s="3">
        <v>232.196</v>
      </c>
      <c r="E4" s="3">
        <v>13.993</v>
      </c>
    </row>
    <row r="5" spans="1:5">
      <c r="A5" s="14"/>
      <c r="B5" s="3" t="s">
        <v>35</v>
      </c>
      <c r="C5" s="3">
        <v>60.677</v>
      </c>
      <c r="D5" s="3">
        <v>146.009</v>
      </c>
      <c r="E5" s="3">
        <v>22.005</v>
      </c>
    </row>
    <row r="6" spans="1:5">
      <c r="A6" s="14"/>
      <c r="B6" s="3" t="s">
        <v>36</v>
      </c>
      <c r="C6" s="3">
        <v>98.789</v>
      </c>
      <c r="D6" s="3">
        <v>300.236</v>
      </c>
      <c r="E6" s="3">
        <v>35.239</v>
      </c>
    </row>
    <row r="7" spans="1:5">
      <c r="A7" s="14"/>
      <c r="B7" s="3" t="s">
        <v>37</v>
      </c>
      <c r="C7" s="3">
        <v>286.668</v>
      </c>
      <c r="D7" s="3">
        <v>200.521</v>
      </c>
      <c r="E7" s="3">
        <v>94.765</v>
      </c>
    </row>
    <row r="8" spans="1:5">
      <c r="A8" s="15" t="s">
        <v>38</v>
      </c>
      <c r="B8" s="3" t="s">
        <v>39</v>
      </c>
      <c r="C8" s="3">
        <v>1650.207</v>
      </c>
      <c r="D8" s="3">
        <v>49.429</v>
      </c>
      <c r="E8" s="3">
        <v>329.364</v>
      </c>
    </row>
    <row r="9" spans="1:5">
      <c r="A9" s="15"/>
      <c r="B9" s="3" t="s">
        <v>40</v>
      </c>
      <c r="C9" s="3">
        <v>2220.383</v>
      </c>
      <c r="D9" s="3">
        <v>1076.498</v>
      </c>
      <c r="E9" s="3">
        <v>36.818</v>
      </c>
    </row>
    <row r="10" spans="1:5">
      <c r="A10" s="15"/>
      <c r="B10" s="3" t="s">
        <v>41</v>
      </c>
      <c r="C10" s="3">
        <v>585.67</v>
      </c>
      <c r="D10" s="3">
        <v>104.158</v>
      </c>
      <c r="E10" s="3">
        <v>50.678</v>
      </c>
    </row>
    <row r="11" spans="1:5">
      <c r="A11" s="15"/>
      <c r="B11" s="3" t="s">
        <v>42</v>
      </c>
      <c r="C11" s="3">
        <v>2057.656</v>
      </c>
      <c r="D11" s="3">
        <v>171.575</v>
      </c>
      <c r="E11" s="3">
        <v>24.93</v>
      </c>
    </row>
    <row r="12" spans="1:5">
      <c r="A12" s="15"/>
      <c r="B12" s="3" t="s">
        <v>43</v>
      </c>
      <c r="C12" s="3">
        <v>1932.962</v>
      </c>
      <c r="D12" s="3">
        <v>232.509</v>
      </c>
      <c r="E12" s="3">
        <v>44.651</v>
      </c>
    </row>
  </sheetData>
  <mergeCells count="3">
    <mergeCell ref="C1:E1"/>
    <mergeCell ref="A3:A7"/>
    <mergeCell ref="A8:A1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33"/>
  <sheetViews>
    <sheetView workbookViewId="0">
      <selection activeCell="A1" sqref="A1"/>
    </sheetView>
  </sheetViews>
  <sheetFormatPr defaultColWidth="8.72727272727273" defaultRowHeight="14"/>
  <cols>
    <col min="1" max="1" width="12.5" style="1" customWidth="1"/>
    <col min="2" max="2" width="8.75454545454545" style="1"/>
    <col min="3" max="3" width="18.8727272727273" style="1" customWidth="1"/>
    <col min="4" max="4" width="8.75454545454545" style="1"/>
    <col min="5" max="13" width="12.8727272727273" style="1"/>
    <col min="14" max="14" width="17.5" style="1" customWidth="1"/>
    <col min="15" max="15" width="23.6272727272727" style="1" customWidth="1"/>
  </cols>
  <sheetData>
    <row r="1" spans="1:15">
      <c r="D1" s="2" t="s">
        <v>48</v>
      </c>
      <c r="E1" s="2"/>
      <c r="F1" s="2"/>
      <c r="G1" s="2"/>
      <c r="H1" s="2"/>
      <c r="I1" s="2"/>
      <c r="J1" s="2"/>
      <c r="K1" s="2"/>
      <c r="L1" s="2"/>
      <c r="M1" s="2"/>
    </row>
    <row r="2" spans="1:15">
      <c r="A2" s="3" t="s">
        <v>49</v>
      </c>
      <c r="B2" s="3" t="s">
        <v>50</v>
      </c>
      <c r="C2" s="3" t="s">
        <v>51</v>
      </c>
      <c r="D2" s="3" t="s">
        <v>33</v>
      </c>
      <c r="E2" s="3" t="s">
        <v>34</v>
      </c>
      <c r="F2" s="3" t="s">
        <v>35</v>
      </c>
      <c r="G2" s="3" t="s">
        <v>36</v>
      </c>
      <c r="H2" s="3" t="s">
        <v>37</v>
      </c>
      <c r="I2" s="3" t="s">
        <v>39</v>
      </c>
      <c r="J2" s="3" t="s">
        <v>40</v>
      </c>
      <c r="K2" s="3" t="s">
        <v>41</v>
      </c>
      <c r="L2" s="3" t="s">
        <v>42</v>
      </c>
      <c r="M2" s="3" t="s">
        <v>43</v>
      </c>
      <c r="N2" s="3" t="s">
        <v>52</v>
      </c>
      <c r="O2" s="4" t="s">
        <v>53</v>
      </c>
    </row>
    <row r="3" spans="1:15">
      <c r="A3" s="3" t="s">
        <v>54</v>
      </c>
      <c r="B3" s="5" t="s">
        <v>55</v>
      </c>
      <c r="C3" s="3" t="s">
        <v>56</v>
      </c>
      <c r="D3" s="6">
        <v>0</v>
      </c>
      <c r="E3" s="6">
        <v>0</v>
      </c>
      <c r="F3" s="6">
        <v>0</v>
      </c>
      <c r="G3" s="6">
        <v>3.46618312186474</v>
      </c>
      <c r="H3" s="6">
        <v>0</v>
      </c>
      <c r="I3" s="6">
        <v>0</v>
      </c>
      <c r="J3" s="6">
        <v>63.9536176349836</v>
      </c>
      <c r="K3" s="6">
        <v>64.9550174423651</v>
      </c>
      <c r="L3" s="6">
        <v>14.1070902927464</v>
      </c>
      <c r="M3" s="6">
        <v>7.14278182236187</v>
      </c>
      <c r="N3" s="6">
        <f t="shared" ref="N3:N9" si="0">AVERAGE(I3:M3)</f>
        <v>30.0317014384914</v>
      </c>
      <c r="O3" s="7">
        <f t="shared" ref="O3:O9" si="1">LOG(N3+1,2)</f>
        <v>4.95567089551099</v>
      </c>
    </row>
    <row r="4" spans="1:15">
      <c r="A4" s="3" t="s">
        <v>54</v>
      </c>
      <c r="B4" s="5" t="s">
        <v>55</v>
      </c>
      <c r="C4" s="3" t="s">
        <v>57</v>
      </c>
      <c r="D4" s="6">
        <v>0</v>
      </c>
      <c r="E4" s="6">
        <v>6.57965458481418</v>
      </c>
      <c r="F4" s="6">
        <v>0</v>
      </c>
      <c r="G4" s="6">
        <v>12.8968146886901</v>
      </c>
      <c r="H4" s="6">
        <v>5.49352300087086</v>
      </c>
      <c r="I4" s="6">
        <v>60.7784947224702</v>
      </c>
      <c r="J4" s="6">
        <v>0</v>
      </c>
      <c r="K4" s="6">
        <v>52.194823192954</v>
      </c>
      <c r="L4" s="6">
        <v>48.9257285973338</v>
      </c>
      <c r="M4" s="6">
        <v>53.1416044959345</v>
      </c>
      <c r="N4" s="6">
        <f t="shared" si="0"/>
        <v>43.0081302017385</v>
      </c>
      <c r="O4" s="7">
        <f t="shared" si="1"/>
        <v>5.45969817132365</v>
      </c>
    </row>
    <row r="5" spans="1:15">
      <c r="A5" s="3" t="s">
        <v>54</v>
      </c>
      <c r="B5" s="5" t="s">
        <v>55</v>
      </c>
      <c r="C5" s="3" t="s">
        <v>58</v>
      </c>
      <c r="D5" s="6">
        <v>0</v>
      </c>
      <c r="E5" s="6">
        <v>0</v>
      </c>
      <c r="F5" s="6">
        <v>0</v>
      </c>
      <c r="G5" s="6">
        <v>1.26234744760488</v>
      </c>
      <c r="H5" s="6">
        <v>0</v>
      </c>
      <c r="I5" s="6">
        <v>0</v>
      </c>
      <c r="J5" s="6">
        <v>0</v>
      </c>
      <c r="K5" s="6">
        <v>73.8597971837951</v>
      </c>
      <c r="L5" s="6">
        <v>29.3427997293363</v>
      </c>
      <c r="M5" s="6">
        <v>11.6899</v>
      </c>
      <c r="N5" s="6">
        <f t="shared" si="0"/>
        <v>22.9784993826263</v>
      </c>
      <c r="O5" s="7">
        <f t="shared" si="1"/>
        <v>4.5836694700288</v>
      </c>
    </row>
    <row r="6" spans="1:15">
      <c r="A6" s="3" t="s">
        <v>54</v>
      </c>
      <c r="B6" s="5" t="s">
        <v>55</v>
      </c>
      <c r="C6" s="3" t="s">
        <v>59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10.2906405466218</v>
      </c>
      <c r="L6" s="6">
        <v>12.5752561607429</v>
      </c>
      <c r="M6" s="6">
        <v>0</v>
      </c>
      <c r="N6" s="6">
        <f t="shared" si="0"/>
        <v>4.57317934147294</v>
      </c>
      <c r="O6" s="7">
        <f t="shared" si="1"/>
        <v>2.47850057919937</v>
      </c>
    </row>
    <row r="7" spans="1:15">
      <c r="A7" s="3" t="s">
        <v>54</v>
      </c>
      <c r="B7" s="5" t="s">
        <v>55</v>
      </c>
      <c r="C7" s="3" t="s">
        <v>60</v>
      </c>
      <c r="D7" s="6">
        <v>0</v>
      </c>
      <c r="E7" s="6">
        <v>17.4622431195065</v>
      </c>
      <c r="F7" s="6">
        <v>0</v>
      </c>
      <c r="G7" s="6">
        <v>13.0786</v>
      </c>
      <c r="H7" s="6">
        <v>0</v>
      </c>
      <c r="I7" s="6">
        <v>0</v>
      </c>
      <c r="J7" s="6">
        <v>0</v>
      </c>
      <c r="K7" s="6">
        <v>20.2838156005479</v>
      </c>
      <c r="L7" s="6">
        <v>23.0486789103571</v>
      </c>
      <c r="M7" s="6">
        <v>6.90812236014693</v>
      </c>
      <c r="N7" s="6">
        <f t="shared" si="0"/>
        <v>10.0481233742104</v>
      </c>
      <c r="O7" s="7">
        <f t="shared" si="1"/>
        <v>3.4657294302375</v>
      </c>
    </row>
    <row r="8" spans="1:15">
      <c r="A8" s="3" t="s">
        <v>54</v>
      </c>
      <c r="B8" s="5" t="s">
        <v>55</v>
      </c>
      <c r="C8" s="3" t="s">
        <v>61</v>
      </c>
      <c r="D8" s="6">
        <v>0</v>
      </c>
      <c r="E8" s="6">
        <v>0</v>
      </c>
      <c r="F8" s="6">
        <v>11.8836896216562</v>
      </c>
      <c r="G8" s="6">
        <v>5.4254447830772</v>
      </c>
      <c r="H8" s="6">
        <v>0</v>
      </c>
      <c r="I8" s="6">
        <v>5.344419355691</v>
      </c>
      <c r="J8" s="6">
        <v>0</v>
      </c>
      <c r="K8" s="6">
        <v>0</v>
      </c>
      <c r="L8" s="6">
        <v>29.5236375574524</v>
      </c>
      <c r="M8" s="6">
        <v>7.47424599009603</v>
      </c>
      <c r="N8" s="6">
        <f t="shared" si="0"/>
        <v>8.46846058064789</v>
      </c>
      <c r="O8" s="7">
        <f t="shared" si="1"/>
        <v>3.24312988575726</v>
      </c>
    </row>
    <row r="9" spans="1:15">
      <c r="A9" s="3" t="s">
        <v>54</v>
      </c>
      <c r="B9" s="5" t="s">
        <v>62</v>
      </c>
      <c r="C9" s="3" t="s">
        <v>63</v>
      </c>
      <c r="D9" s="6">
        <v>0</v>
      </c>
      <c r="E9" s="6">
        <v>0</v>
      </c>
      <c r="F9" s="6">
        <v>0</v>
      </c>
      <c r="G9" s="6">
        <v>9.17334560208134</v>
      </c>
      <c r="H9" s="6">
        <v>0</v>
      </c>
      <c r="I9" s="6">
        <v>20.4671497063655</v>
      </c>
      <c r="J9" s="6">
        <v>11.9913165642888</v>
      </c>
      <c r="K9" s="6">
        <v>58.2580155257916</v>
      </c>
      <c r="L9" s="6">
        <v>40.5392525215009</v>
      </c>
      <c r="M9" s="6">
        <v>124.420077192955</v>
      </c>
      <c r="N9" s="6">
        <f t="shared" si="0"/>
        <v>51.1351623021804</v>
      </c>
      <c r="O9" s="7">
        <f t="shared" si="1"/>
        <v>5.70418481419247</v>
      </c>
    </row>
    <row r="10" spans="1:15"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spans="1:15">
      <c r="D11" s="8"/>
      <c r="E11" s="8"/>
      <c r="F11" s="8"/>
      <c r="G11" s="8"/>
      <c r="H11" s="8"/>
      <c r="I11" s="8"/>
      <c r="J11" s="8"/>
      <c r="K11" s="8"/>
      <c r="L11" s="8"/>
      <c r="M11" s="8"/>
      <c r="N11" s="6" t="s">
        <v>52</v>
      </c>
      <c r="O11" s="7" t="s">
        <v>53</v>
      </c>
    </row>
    <row r="12" spans="1:15">
      <c r="A12" s="3" t="s">
        <v>64</v>
      </c>
      <c r="B12" s="3" t="s">
        <v>55</v>
      </c>
      <c r="C12" s="3" t="s">
        <v>56</v>
      </c>
      <c r="D12" s="6">
        <v>0</v>
      </c>
      <c r="E12" s="6">
        <v>0</v>
      </c>
      <c r="F12" s="6">
        <v>0</v>
      </c>
      <c r="G12" s="6">
        <v>3.26199186824921</v>
      </c>
      <c r="H12" s="6">
        <v>0</v>
      </c>
      <c r="I12" s="6">
        <v>8.37291426054835</v>
      </c>
      <c r="J12" s="6">
        <v>41.3092149969943</v>
      </c>
      <c r="K12" s="6">
        <v>62.0008871476333</v>
      </c>
      <c r="L12" s="6">
        <v>11.16296509514</v>
      </c>
      <c r="M12" s="6">
        <v>16.5098</v>
      </c>
      <c r="N12" s="6">
        <f t="shared" ref="N12:N18" si="2">AVERAGE(I12:M12)</f>
        <v>27.8711563000632</v>
      </c>
      <c r="O12" s="7">
        <f t="shared" ref="O12:O18" si="3">LOG(N12+1,2)</f>
        <v>4.8515569840671</v>
      </c>
    </row>
    <row r="13" spans="1:15">
      <c r="A13" s="3" t="s">
        <v>64</v>
      </c>
      <c r="B13" s="3" t="s">
        <v>55</v>
      </c>
      <c r="C13" s="3" t="s">
        <v>57</v>
      </c>
      <c r="D13" s="6">
        <v>0</v>
      </c>
      <c r="E13" s="6">
        <v>8.31535667668564</v>
      </c>
      <c r="F13" s="6">
        <v>0</v>
      </c>
      <c r="G13" s="6">
        <v>30.0082084681787</v>
      </c>
      <c r="H13" s="6">
        <v>0</v>
      </c>
      <c r="I13" s="6">
        <v>0</v>
      </c>
      <c r="J13" s="6">
        <v>0</v>
      </c>
      <c r="K13" s="6">
        <v>32.3180954013446</v>
      </c>
      <c r="L13" s="6">
        <v>35.3470768359165</v>
      </c>
      <c r="M13" s="6">
        <v>69.644363696043</v>
      </c>
      <c r="N13" s="6">
        <f t="shared" si="2"/>
        <v>27.4619071866608</v>
      </c>
      <c r="O13" s="7">
        <f t="shared" si="3"/>
        <v>4.83096043266705</v>
      </c>
    </row>
    <row r="14" spans="1:15">
      <c r="A14" s="3" t="s">
        <v>64</v>
      </c>
      <c r="B14" s="3" t="s">
        <v>55</v>
      </c>
      <c r="C14" s="3" t="s">
        <v>58</v>
      </c>
      <c r="D14" s="6">
        <v>0</v>
      </c>
      <c r="E14" s="6">
        <v>0</v>
      </c>
      <c r="F14" s="6">
        <v>0</v>
      </c>
      <c r="G14" s="6">
        <v>2.28133717579251</v>
      </c>
      <c r="H14" s="6">
        <v>0</v>
      </c>
      <c r="I14" s="6">
        <v>0</v>
      </c>
      <c r="J14" s="6">
        <v>0</v>
      </c>
      <c r="K14" s="6">
        <v>90.6833549013264</v>
      </c>
      <c r="L14" s="6">
        <v>44.0139086500769</v>
      </c>
      <c r="M14" s="6">
        <v>0</v>
      </c>
      <c r="N14" s="6">
        <f t="shared" si="2"/>
        <v>26.9394527102807</v>
      </c>
      <c r="O14" s="7">
        <f t="shared" si="3"/>
        <v>4.8042318557959</v>
      </c>
    </row>
    <row r="15" spans="1:15">
      <c r="A15" s="3" t="s">
        <v>64</v>
      </c>
      <c r="B15" s="3" t="s">
        <v>55</v>
      </c>
      <c r="C15" s="3" t="s">
        <v>59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38.1998388462039</v>
      </c>
      <c r="L15" s="6">
        <v>0</v>
      </c>
      <c r="M15" s="6">
        <v>0</v>
      </c>
      <c r="N15" s="6">
        <f t="shared" si="2"/>
        <v>7.63996776924078</v>
      </c>
      <c r="O15" s="7">
        <f t="shared" si="3"/>
        <v>3.11102593053189</v>
      </c>
    </row>
    <row r="16" spans="1:15">
      <c r="A16" s="3" t="s">
        <v>64</v>
      </c>
      <c r="B16" s="3" t="s">
        <v>55</v>
      </c>
      <c r="C16" s="3" t="s">
        <v>60</v>
      </c>
      <c r="D16" s="6">
        <v>0</v>
      </c>
      <c r="E16" s="6">
        <v>6.42289269491136</v>
      </c>
      <c r="F16" s="6">
        <v>0</v>
      </c>
      <c r="G16" s="6">
        <v>0.511982627034281</v>
      </c>
      <c r="H16" s="6">
        <v>0</v>
      </c>
      <c r="I16" s="6">
        <v>0</v>
      </c>
      <c r="J16" s="6">
        <v>0</v>
      </c>
      <c r="K16" s="6">
        <v>2.05378714463234</v>
      </c>
      <c r="L16" s="6">
        <v>108.342068320075</v>
      </c>
      <c r="M16" s="6">
        <v>0</v>
      </c>
      <c r="N16" s="6">
        <f t="shared" si="2"/>
        <v>22.0791710929415</v>
      </c>
      <c r="O16" s="7">
        <f t="shared" si="3"/>
        <v>4.52851950424435</v>
      </c>
    </row>
    <row r="17" spans="1:15">
      <c r="A17" s="3" t="s">
        <v>64</v>
      </c>
      <c r="B17" s="3" t="s">
        <v>55</v>
      </c>
      <c r="C17" s="3" t="s">
        <v>61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1.84696775401023</v>
      </c>
      <c r="J17" s="6">
        <v>0</v>
      </c>
      <c r="K17" s="6">
        <v>37.3692181396139</v>
      </c>
      <c r="L17" s="6">
        <v>13.337585922899</v>
      </c>
      <c r="M17" s="6">
        <v>18.239233455271</v>
      </c>
      <c r="N17" s="6">
        <f t="shared" si="2"/>
        <v>14.1586010543588</v>
      </c>
      <c r="O17" s="7">
        <f t="shared" si="3"/>
        <v>3.92206471217832</v>
      </c>
    </row>
    <row r="18" spans="1:15">
      <c r="A18" s="3" t="s">
        <v>64</v>
      </c>
      <c r="B18" s="3" t="s">
        <v>62</v>
      </c>
      <c r="C18" s="3" t="s">
        <v>63</v>
      </c>
      <c r="D18" s="6">
        <v>0</v>
      </c>
      <c r="E18" s="6">
        <v>0</v>
      </c>
      <c r="F18" s="6">
        <v>14.9087992246054</v>
      </c>
      <c r="G18" s="6">
        <v>4.26381065228366</v>
      </c>
      <c r="H18" s="6">
        <v>0</v>
      </c>
      <c r="I18" s="6">
        <v>66.102037962687</v>
      </c>
      <c r="J18" s="6">
        <v>17.6713830090264</v>
      </c>
      <c r="K18" s="6">
        <v>154.844350049846</v>
      </c>
      <c r="L18" s="6">
        <v>63.3234628172027</v>
      </c>
      <c r="M18" s="6">
        <v>83.1817768453399</v>
      </c>
      <c r="N18" s="6">
        <f t="shared" si="2"/>
        <v>77.0246021368204</v>
      </c>
      <c r="O18" s="7">
        <f t="shared" si="3"/>
        <v>6.28585719045768</v>
      </c>
    </row>
    <row r="19" spans="1:15"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spans="1:15">
      <c r="D20" s="8"/>
      <c r="E20" s="8"/>
      <c r="F20" s="8"/>
      <c r="G20" s="8"/>
      <c r="H20" s="8"/>
      <c r="I20" s="8"/>
      <c r="J20" s="8"/>
      <c r="K20" s="8"/>
      <c r="L20" s="8"/>
      <c r="M20" s="8"/>
      <c r="N20" s="6" t="s">
        <v>52</v>
      </c>
      <c r="O20" s="7" t="s">
        <v>53</v>
      </c>
    </row>
    <row r="21" spans="1:15">
      <c r="A21" s="3" t="s">
        <v>65</v>
      </c>
      <c r="B21" s="5" t="s">
        <v>55</v>
      </c>
      <c r="C21" s="3" t="s">
        <v>56</v>
      </c>
      <c r="D21" s="6">
        <v>0</v>
      </c>
      <c r="E21" s="6">
        <v>2.02591164449503</v>
      </c>
      <c r="F21" s="6">
        <v>0</v>
      </c>
      <c r="G21" s="6">
        <v>2.25687128649328</v>
      </c>
      <c r="H21" s="6">
        <v>4.20732037640198</v>
      </c>
      <c r="I21" s="6">
        <v>47.5462332695985</v>
      </c>
      <c r="J21" s="6">
        <v>3.44749809563846</v>
      </c>
      <c r="K21" s="6">
        <v>72.0360675055175</v>
      </c>
      <c r="L21" s="6">
        <v>24.2762769744506</v>
      </c>
      <c r="M21" s="6">
        <v>52.9304083515209</v>
      </c>
      <c r="N21" s="6">
        <f t="shared" ref="N21:N27" si="4">AVERAGE(I21:M21)</f>
        <v>40.0472968393452</v>
      </c>
      <c r="O21" s="7">
        <f t="shared" ref="O21:O27" si="5">LOG(N21+1,2)</f>
        <v>5.35921531165585</v>
      </c>
    </row>
    <row r="22" spans="1:15">
      <c r="A22" s="3" t="s">
        <v>65</v>
      </c>
      <c r="B22" s="5" t="s">
        <v>55</v>
      </c>
      <c r="C22" s="3" t="s">
        <v>57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7"/>
    </row>
    <row r="23" spans="1:15">
      <c r="A23" s="3" t="s">
        <v>65</v>
      </c>
      <c r="B23" s="5" t="s">
        <v>55</v>
      </c>
      <c r="C23" s="3" t="s">
        <v>58</v>
      </c>
      <c r="D23" s="6">
        <v>0</v>
      </c>
      <c r="E23" s="6">
        <v>7.85015826955738</v>
      </c>
      <c r="F23" s="6">
        <v>16.7790284873814</v>
      </c>
      <c r="G23" s="6">
        <v>9.74061415317808</v>
      </c>
      <c r="H23" s="6">
        <v>245.958306408258</v>
      </c>
      <c r="I23" s="6">
        <v>16.4841928203189</v>
      </c>
      <c r="J23" s="6">
        <v>12.7647217958844</v>
      </c>
      <c r="K23" s="6">
        <v>34.2638410361065</v>
      </c>
      <c r="L23" s="6">
        <v>20.6242705299459</v>
      </c>
      <c r="M23" s="6">
        <v>83.9877376841576</v>
      </c>
      <c r="N23" s="6">
        <f t="shared" si="4"/>
        <v>33.6249527732827</v>
      </c>
      <c r="O23" s="7">
        <f t="shared" si="5"/>
        <v>5.11374019828609</v>
      </c>
    </row>
    <row r="24" spans="1:15">
      <c r="A24" s="3" t="s">
        <v>65</v>
      </c>
      <c r="B24" s="5" t="s">
        <v>55</v>
      </c>
      <c r="C24" s="3" t="s">
        <v>59</v>
      </c>
      <c r="D24" s="6">
        <v>0</v>
      </c>
      <c r="E24" s="6">
        <v>4.76141191871502</v>
      </c>
      <c r="F24" s="6">
        <v>0</v>
      </c>
      <c r="G24" s="6">
        <v>2.64727513056614</v>
      </c>
      <c r="H24" s="6">
        <v>0</v>
      </c>
      <c r="I24" s="6">
        <v>0</v>
      </c>
      <c r="J24" s="6">
        <v>2.89581371830017</v>
      </c>
      <c r="K24" s="6">
        <v>7.83929523588733</v>
      </c>
      <c r="L24" s="6">
        <v>28.3308858600505</v>
      </c>
      <c r="M24" s="6">
        <v>18.8069881937323</v>
      </c>
      <c r="N24" s="6">
        <f t="shared" si="4"/>
        <v>11.5745966015941</v>
      </c>
      <c r="O24" s="7">
        <f t="shared" si="5"/>
        <v>3.65244021339015</v>
      </c>
    </row>
    <row r="25" spans="1:15">
      <c r="A25" s="3" t="s">
        <v>65</v>
      </c>
      <c r="B25" s="5" t="s">
        <v>55</v>
      </c>
      <c r="C25" s="3" t="s">
        <v>60</v>
      </c>
      <c r="D25" s="6">
        <v>0</v>
      </c>
      <c r="E25" s="6">
        <v>6.87039162116168</v>
      </c>
      <c r="F25" s="6">
        <v>0</v>
      </c>
      <c r="G25" s="6">
        <v>6.37831897958866</v>
      </c>
      <c r="H25" s="6">
        <v>0</v>
      </c>
      <c r="I25" s="6">
        <v>89.3141015478488</v>
      </c>
      <c r="J25" s="6">
        <v>1.4224611184895</v>
      </c>
      <c r="K25" s="6">
        <v>37.5737090348767</v>
      </c>
      <c r="L25" s="6">
        <v>12.2752770712209</v>
      </c>
      <c r="M25" s="6">
        <v>27.5544024203017</v>
      </c>
      <c r="N25" s="6">
        <f t="shared" si="4"/>
        <v>33.6279902385475</v>
      </c>
      <c r="O25" s="7">
        <f t="shared" si="5"/>
        <v>5.11386675279444</v>
      </c>
    </row>
    <row r="26" spans="1:15">
      <c r="A26" s="3" t="s">
        <v>65</v>
      </c>
      <c r="B26" s="5" t="s">
        <v>55</v>
      </c>
      <c r="C26" s="3" t="s">
        <v>61</v>
      </c>
      <c r="D26" s="6">
        <v>0</v>
      </c>
      <c r="E26" s="6">
        <v>7.68666123125105</v>
      </c>
      <c r="F26" s="6">
        <v>5.84836711715804</v>
      </c>
      <c r="G26" s="6">
        <v>8.18922330209699</v>
      </c>
      <c r="H26" s="6">
        <v>0</v>
      </c>
      <c r="I26" s="6">
        <v>41.3732587569632</v>
      </c>
      <c r="J26" s="6">
        <v>0</v>
      </c>
      <c r="K26" s="6">
        <v>61.9363468517528</v>
      </c>
      <c r="L26" s="6">
        <v>52.2296637338228</v>
      </c>
      <c r="M26" s="6">
        <v>27.4251563589432</v>
      </c>
      <c r="N26" s="6">
        <f t="shared" si="4"/>
        <v>36.5928851402964</v>
      </c>
      <c r="O26" s="7">
        <f t="shared" si="5"/>
        <v>5.23238773700064</v>
      </c>
    </row>
    <row r="27" spans="1:15">
      <c r="A27" s="3" t="s">
        <v>65</v>
      </c>
      <c r="B27" s="5" t="s">
        <v>62</v>
      </c>
      <c r="C27" s="3" t="s">
        <v>63</v>
      </c>
      <c r="D27" s="6">
        <v>0</v>
      </c>
      <c r="E27" s="6">
        <v>8.69234300567604</v>
      </c>
      <c r="F27" s="6">
        <v>1.16967343462767</v>
      </c>
      <c r="G27" s="6">
        <v>8.21626426819704</v>
      </c>
      <c r="H27" s="6">
        <v>36.8052343240577</v>
      </c>
      <c r="I27" s="6">
        <v>28.2989935917326</v>
      </c>
      <c r="J27" s="6">
        <v>103.905081385868</v>
      </c>
      <c r="K27" s="6">
        <v>79.8374127044639</v>
      </c>
      <c r="L27" s="6">
        <v>75.1469337692682</v>
      </c>
      <c r="M27" s="6">
        <v>106.709668402074</v>
      </c>
      <c r="N27" s="6">
        <f t="shared" si="4"/>
        <v>78.7796179706813</v>
      </c>
      <c r="O27" s="7">
        <f t="shared" si="5"/>
        <v>6.31794830990027</v>
      </c>
    </row>
    <row r="28" spans="1:15"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9"/>
    </row>
    <row r="29" spans="1:15">
      <c r="D29" s="8"/>
      <c r="E29" s="8"/>
      <c r="F29" s="8"/>
      <c r="G29" s="8"/>
      <c r="H29" s="8"/>
      <c r="I29" s="8"/>
      <c r="J29" s="8"/>
      <c r="K29" s="8"/>
      <c r="L29" s="8"/>
      <c r="M29" s="8"/>
      <c r="N29" s="6" t="s">
        <v>52</v>
      </c>
      <c r="O29" s="7" t="s">
        <v>53</v>
      </c>
    </row>
    <row r="30" spans="1:15">
      <c r="A30" s="3" t="s">
        <v>66</v>
      </c>
      <c r="B30" s="3" t="s">
        <v>55</v>
      </c>
      <c r="C30" s="3" t="s">
        <v>56</v>
      </c>
      <c r="D30" s="6">
        <v>0</v>
      </c>
      <c r="E30" s="6">
        <v>2.02591164449503</v>
      </c>
      <c r="F30" s="6">
        <v>0</v>
      </c>
      <c r="G30" s="6">
        <v>8.98504627660723</v>
      </c>
      <c r="H30" s="6">
        <v>4.20732037640198</v>
      </c>
      <c r="I30" s="6">
        <v>55.9191475301468</v>
      </c>
      <c r="J30" s="6">
        <v>108.710330727616</v>
      </c>
      <c r="K30" s="6">
        <v>198.991972095516</v>
      </c>
      <c r="L30" s="6">
        <v>49.5463323623369</v>
      </c>
      <c r="M30" s="6">
        <v>76.5829901738827</v>
      </c>
      <c r="N30" s="6">
        <f t="shared" ref="N30:N36" si="6">AVERAGE(I30:M30)</f>
        <v>97.9501545778997</v>
      </c>
      <c r="O30" s="7">
        <f t="shared" ref="O30:O36" si="7">LOG(N30+1,2)</f>
        <v>6.62863005591048</v>
      </c>
    </row>
    <row r="31" spans="1:15">
      <c r="A31" s="3" t="s">
        <v>66</v>
      </c>
      <c r="B31" s="3" t="s">
        <v>55</v>
      </c>
      <c r="C31" s="3" t="s">
        <v>57</v>
      </c>
      <c r="D31" s="6">
        <v>0</v>
      </c>
      <c r="E31" s="6">
        <v>14.8950112614998</v>
      </c>
      <c r="F31" s="6">
        <v>0</v>
      </c>
      <c r="G31" s="6">
        <v>42.9050231568688</v>
      </c>
      <c r="H31" s="6">
        <v>5.49352300087086</v>
      </c>
      <c r="I31" s="6">
        <v>60.7784947224702</v>
      </c>
      <c r="J31" s="6">
        <v>0</v>
      </c>
      <c r="K31" s="6">
        <v>84.5129185942986</v>
      </c>
      <c r="L31" s="6">
        <v>84.2728054332503</v>
      </c>
      <c r="M31" s="6">
        <v>122.785968191977</v>
      </c>
      <c r="N31" s="6">
        <f t="shared" si="6"/>
        <v>70.4700373883992</v>
      </c>
      <c r="O31" s="7">
        <f t="shared" si="7"/>
        <v>6.15926663788356</v>
      </c>
    </row>
    <row r="32" spans="1:15">
      <c r="A32" s="3" t="s">
        <v>66</v>
      </c>
      <c r="B32" s="3" t="s">
        <v>55</v>
      </c>
      <c r="C32" s="3" t="s">
        <v>58</v>
      </c>
      <c r="D32" s="6">
        <v>0</v>
      </c>
      <c r="E32" s="6">
        <v>7.85015826955738</v>
      </c>
      <c r="F32" s="6">
        <v>16.7790284873814</v>
      </c>
      <c r="G32" s="6">
        <v>13.2842987765755</v>
      </c>
      <c r="H32" s="6">
        <v>245.958306408258</v>
      </c>
      <c r="I32" s="6">
        <v>16.4841928203189</v>
      </c>
      <c r="J32" s="6">
        <v>12.7647217958844</v>
      </c>
      <c r="K32" s="6">
        <v>198.806993121228</v>
      </c>
      <c r="L32" s="6">
        <v>93.9809789093591</v>
      </c>
      <c r="M32" s="6">
        <v>95.6776376841576</v>
      </c>
      <c r="N32" s="6">
        <f t="shared" si="6"/>
        <v>83.5429048661896</v>
      </c>
      <c r="O32" s="7">
        <f t="shared" si="7"/>
        <v>6.40161177863113</v>
      </c>
    </row>
    <row r="33" spans="1:15">
      <c r="A33" s="3" t="s">
        <v>66</v>
      </c>
      <c r="B33" s="3" t="s">
        <v>55</v>
      </c>
      <c r="C33" s="3" t="s">
        <v>59</v>
      </c>
      <c r="D33" s="6">
        <v>0</v>
      </c>
      <c r="E33" s="6">
        <v>4.76141191871502</v>
      </c>
      <c r="F33" s="6">
        <v>0</v>
      </c>
      <c r="G33" s="6">
        <v>2.64727513056614</v>
      </c>
      <c r="H33" s="6">
        <v>0</v>
      </c>
      <c r="I33" s="6">
        <v>0</v>
      </c>
      <c r="J33" s="6">
        <v>2.89581371830017</v>
      </c>
      <c r="K33" s="6">
        <v>56.3297746287131</v>
      </c>
      <c r="L33" s="6">
        <v>40.9061420207935</v>
      </c>
      <c r="M33" s="6">
        <v>18.8069881937323</v>
      </c>
      <c r="N33" s="6">
        <f t="shared" si="6"/>
        <v>23.7877437123078</v>
      </c>
      <c r="O33" s="7">
        <f t="shared" si="7"/>
        <v>4.63155505194297</v>
      </c>
    </row>
    <row r="34" spans="1:15">
      <c r="A34" s="3" t="s">
        <v>66</v>
      </c>
      <c r="B34" s="3" t="s">
        <v>55</v>
      </c>
      <c r="C34" s="3" t="s">
        <v>60</v>
      </c>
      <c r="D34" s="6">
        <v>0</v>
      </c>
      <c r="E34" s="6">
        <v>30.7555274355795</v>
      </c>
      <c r="F34" s="6">
        <v>0</v>
      </c>
      <c r="G34" s="6">
        <v>19.9689016066229</v>
      </c>
      <c r="H34" s="6">
        <v>0</v>
      </c>
      <c r="I34" s="6">
        <v>89.3141015478488</v>
      </c>
      <c r="J34" s="6">
        <v>1.4224611184895</v>
      </c>
      <c r="K34" s="6">
        <v>59.9113117800569</v>
      </c>
      <c r="L34" s="6">
        <v>143.666024301653</v>
      </c>
      <c r="M34" s="6">
        <v>34.4625247804486</v>
      </c>
      <c r="N34" s="6">
        <f t="shared" si="6"/>
        <v>65.7552847056994</v>
      </c>
      <c r="O34" s="7">
        <f t="shared" si="7"/>
        <v>6.06081014767122</v>
      </c>
    </row>
    <row r="35" spans="1:15">
      <c r="A35" s="3" t="s">
        <v>66</v>
      </c>
      <c r="B35" s="3" t="s">
        <v>55</v>
      </c>
      <c r="C35" s="3" t="s">
        <v>61</v>
      </c>
      <c r="D35" s="6">
        <v>0</v>
      </c>
      <c r="E35" s="6">
        <v>7.68666123125105</v>
      </c>
      <c r="F35" s="6">
        <v>17.7320567388143</v>
      </c>
      <c r="G35" s="6">
        <v>13.6146680851742</v>
      </c>
      <c r="H35" s="6">
        <v>0</v>
      </c>
      <c r="I35" s="6">
        <v>48.5646458666644</v>
      </c>
      <c r="J35" s="6">
        <v>0</v>
      </c>
      <c r="K35" s="6">
        <v>99.3055649913667</v>
      </c>
      <c r="L35" s="6">
        <v>95.0908872141742</v>
      </c>
      <c r="M35" s="6">
        <v>53.1386358043102</v>
      </c>
      <c r="N35" s="6">
        <f t="shared" si="6"/>
        <v>59.2199467753031</v>
      </c>
      <c r="O35" s="7">
        <f t="shared" si="7"/>
        <v>5.91216952784135</v>
      </c>
    </row>
    <row r="36" spans="1:15">
      <c r="A36" s="3" t="s">
        <v>66</v>
      </c>
      <c r="B36" s="3" t="s">
        <v>62</v>
      </c>
      <c r="C36" s="3" t="s">
        <v>63</v>
      </c>
      <c r="D36" s="6">
        <v>0</v>
      </c>
      <c r="E36" s="6">
        <v>8.69234300567604</v>
      </c>
      <c r="F36" s="6">
        <v>16.0784726592331</v>
      </c>
      <c r="G36" s="6">
        <v>21.653420522562</v>
      </c>
      <c r="H36" s="6">
        <v>36.8052343240577</v>
      </c>
      <c r="I36" s="6">
        <v>114.868181260785</v>
      </c>
      <c r="J36" s="6">
        <v>133.567780959183</v>
      </c>
      <c r="K36" s="6">
        <v>292.939778280102</v>
      </c>
      <c r="L36" s="6">
        <v>179.009649107972</v>
      </c>
      <c r="M36" s="6">
        <v>314.311522440369</v>
      </c>
      <c r="N36" s="6">
        <f t="shared" si="6"/>
        <v>206.939382409682</v>
      </c>
      <c r="O36" s="7">
        <f t="shared" si="7"/>
        <v>7.70001921120542</v>
      </c>
    </row>
    <row r="37" spans="1:15"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9"/>
    </row>
    <row r="38" spans="1:15">
      <c r="D38" s="8"/>
      <c r="E38" s="8"/>
      <c r="F38" s="8"/>
      <c r="G38" s="8"/>
      <c r="H38" s="8"/>
      <c r="I38" s="8"/>
      <c r="J38" s="8"/>
      <c r="K38" s="8"/>
      <c r="L38" s="8"/>
      <c r="M38" s="8"/>
      <c r="N38" s="6" t="s">
        <v>52</v>
      </c>
      <c r="O38" s="7" t="s">
        <v>53</v>
      </c>
    </row>
    <row r="39" spans="1:15">
      <c r="A39" s="3" t="s">
        <v>67</v>
      </c>
      <c r="B39" s="3" t="s">
        <v>55</v>
      </c>
      <c r="C39" s="3" t="s">
        <v>56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17.2848039049127</v>
      </c>
      <c r="K39" s="6">
        <v>16.7063745381655</v>
      </c>
      <c r="L39" s="6">
        <v>1.83392097042328</v>
      </c>
      <c r="M39" s="6">
        <v>1.12185788845544</v>
      </c>
      <c r="N39" s="6">
        <f t="shared" ref="N39:N44" si="8">AVERAGE(I39:M39)</f>
        <v>7.38939146039138</v>
      </c>
      <c r="O39" s="7">
        <f t="shared" ref="O39:O44" si="9">LOG(N39+1,2)</f>
        <v>3.06856616597903</v>
      </c>
    </row>
    <row r="40" spans="1:15">
      <c r="A40" s="3" t="s">
        <v>67</v>
      </c>
      <c r="B40" s="3" t="s">
        <v>55</v>
      </c>
      <c r="C40" s="3" t="s">
        <v>57</v>
      </c>
      <c r="D40" s="6">
        <v>0</v>
      </c>
      <c r="E40" s="6">
        <v>0.505568622425261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2.98511836136163</v>
      </c>
      <c r="M40" s="6">
        <v>0</v>
      </c>
      <c r="N40" s="6">
        <f t="shared" si="8"/>
        <v>0.597023672272326</v>
      </c>
      <c r="O40" s="7">
        <f t="shared" si="9"/>
        <v>0.675385697606239</v>
      </c>
    </row>
    <row r="41" spans="1:15">
      <c r="A41" s="3" t="s">
        <v>67</v>
      </c>
      <c r="B41" s="3" t="s">
        <v>55</v>
      </c>
      <c r="C41" s="3" t="s">
        <v>58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7.02179756195044</v>
      </c>
      <c r="L41" s="6">
        <v>1.66894145735377</v>
      </c>
      <c r="M41" s="6">
        <v>0</v>
      </c>
      <c r="N41" s="6">
        <f t="shared" si="8"/>
        <v>1.73814780386084</v>
      </c>
      <c r="O41" s="7">
        <f t="shared" si="9"/>
        <v>1.45320032466074</v>
      </c>
    </row>
    <row r="42" spans="1:15">
      <c r="A42" s="3" t="s">
        <v>67</v>
      </c>
      <c r="B42" s="3" t="s">
        <v>55</v>
      </c>
      <c r="C42" s="3" t="s">
        <v>59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4.98260654207388</v>
      </c>
      <c r="L42" s="6">
        <v>1.57193081632617</v>
      </c>
      <c r="M42" s="6">
        <v>0</v>
      </c>
      <c r="N42" s="6">
        <f t="shared" si="8"/>
        <v>1.31090747168001</v>
      </c>
      <c r="O42" s="7">
        <f t="shared" si="9"/>
        <v>1.20845949571172</v>
      </c>
    </row>
    <row r="43" spans="1:15">
      <c r="A43" s="3" t="s">
        <v>67</v>
      </c>
      <c r="B43" s="3" t="s">
        <v>55</v>
      </c>
      <c r="C43" s="3" t="s">
        <v>60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1.06830212944826</v>
      </c>
      <c r="M43" s="6">
        <v>0</v>
      </c>
      <c r="N43" s="6">
        <f t="shared" si="8"/>
        <v>0.213660425889652</v>
      </c>
      <c r="O43" s="7">
        <f t="shared" si="9"/>
        <v>0.279364821581844</v>
      </c>
    </row>
    <row r="44" spans="1:15">
      <c r="A44" s="3" t="s">
        <v>67</v>
      </c>
      <c r="B44" s="3" t="s">
        <v>55</v>
      </c>
      <c r="C44" s="3" t="s">
        <v>61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4.87688438280455</v>
      </c>
      <c r="L44" s="6">
        <v>0.590100827730202</v>
      </c>
      <c r="M44" s="6">
        <v>0</v>
      </c>
      <c r="N44" s="6">
        <f t="shared" si="8"/>
        <v>1.09339704210695</v>
      </c>
      <c r="O44" s="7">
        <f t="shared" si="9"/>
        <v>1.06584596489247</v>
      </c>
    </row>
    <row r="45" spans="1:15">
      <c r="A45" s="3" t="s">
        <v>67</v>
      </c>
      <c r="B45" s="3" t="s">
        <v>62</v>
      </c>
      <c r="C45" s="3" t="s">
        <v>63</v>
      </c>
      <c r="D45" s="6"/>
      <c r="E45" s="6"/>
      <c r="F45" s="6"/>
      <c r="G45" s="6"/>
      <c r="H45" s="6"/>
      <c r="I45" s="6"/>
      <c r="J45" s="6"/>
      <c r="K45" s="6"/>
      <c r="L45" s="6"/>
      <c r="M45" s="10"/>
      <c r="N45" s="6"/>
      <c r="O45" s="7"/>
    </row>
    <row r="46" spans="1:15"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</row>
    <row r="47" spans="1:15">
      <c r="D47" s="8"/>
      <c r="E47" s="8"/>
      <c r="F47" s="8"/>
      <c r="G47" s="8"/>
      <c r="H47" s="8"/>
      <c r="I47" s="8"/>
      <c r="J47" s="8"/>
      <c r="K47" s="8"/>
      <c r="L47" s="8"/>
      <c r="M47" s="8"/>
      <c r="N47" s="6" t="s">
        <v>52</v>
      </c>
      <c r="O47" s="7" t="s">
        <v>53</v>
      </c>
    </row>
    <row r="48" spans="1:15">
      <c r="A48" s="3" t="s">
        <v>68</v>
      </c>
      <c r="B48" s="3" t="s">
        <v>55</v>
      </c>
      <c r="C48" s="3" t="s">
        <v>56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7"/>
    </row>
    <row r="49" spans="1:15">
      <c r="A49" s="3" t="s">
        <v>68</v>
      </c>
      <c r="B49" s="3" t="s">
        <v>55</v>
      </c>
      <c r="C49" s="3" t="s">
        <v>57</v>
      </c>
      <c r="D49" s="6">
        <v>0</v>
      </c>
      <c r="E49" s="6">
        <v>9.97842682941394</v>
      </c>
      <c r="F49" s="6">
        <v>0</v>
      </c>
      <c r="G49" s="6">
        <v>4.85862676494758</v>
      </c>
      <c r="H49" s="6">
        <v>0</v>
      </c>
      <c r="I49" s="6">
        <v>7.93223915462086</v>
      </c>
      <c r="J49" s="6">
        <v>89.9348047296852</v>
      </c>
      <c r="K49" s="6">
        <v>72.8226267642613</v>
      </c>
      <c r="L49" s="6">
        <v>41.6477232199196</v>
      </c>
      <c r="M49" s="6">
        <v>14.198507544684</v>
      </c>
      <c r="N49" s="6">
        <f t="shared" ref="N49:N52" si="10">AVERAGE(I49:M49)</f>
        <v>45.3071802826342</v>
      </c>
      <c r="O49" s="7">
        <f t="shared" ref="O49:O52" si="11">LOG(N49+1,2)</f>
        <v>5.53316400662318</v>
      </c>
    </row>
    <row r="50" spans="1:15">
      <c r="A50" s="3" t="s">
        <v>68</v>
      </c>
      <c r="B50" s="3" t="s">
        <v>55</v>
      </c>
      <c r="C50" s="3" t="s">
        <v>58</v>
      </c>
      <c r="D50" s="6">
        <v>0</v>
      </c>
      <c r="E50" s="6">
        <v>3.46098750534228</v>
      </c>
      <c r="F50" s="6">
        <v>11.3179928661464</v>
      </c>
      <c r="G50" s="6">
        <v>1.7004</v>
      </c>
      <c r="H50" s="6">
        <v>0</v>
      </c>
      <c r="I50" s="6">
        <v>0</v>
      </c>
      <c r="J50" s="6">
        <v>53.9606124795739</v>
      </c>
      <c r="K50" s="6">
        <v>7.46979992928072</v>
      </c>
      <c r="L50" s="6">
        <v>1.63881870344272</v>
      </c>
      <c r="M50" s="6">
        <v>3.0245150993356</v>
      </c>
      <c r="N50" s="6">
        <f t="shared" si="10"/>
        <v>13.2187492423266</v>
      </c>
      <c r="O50" s="7">
        <f t="shared" si="11"/>
        <v>3.82972265820928</v>
      </c>
    </row>
    <row r="51" spans="1:15">
      <c r="A51" s="3" t="s">
        <v>68</v>
      </c>
      <c r="B51" s="3" t="s">
        <v>55</v>
      </c>
      <c r="C51" s="3" t="s">
        <v>59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7"/>
    </row>
    <row r="52" spans="1:15">
      <c r="A52" s="3" t="s">
        <v>68</v>
      </c>
      <c r="B52" s="3" t="s">
        <v>55</v>
      </c>
      <c r="C52" s="3" t="s">
        <v>60</v>
      </c>
      <c r="D52" s="6">
        <v>0</v>
      </c>
      <c r="E52" s="6">
        <v>1.91292156178894</v>
      </c>
      <c r="F52" s="6">
        <v>14.6209014023961</v>
      </c>
      <c r="G52" s="6">
        <v>4.12206733129817</v>
      </c>
      <c r="H52" s="6">
        <v>0</v>
      </c>
      <c r="I52" s="6">
        <v>3.79151288156034</v>
      </c>
      <c r="J52" s="6">
        <v>43.8304867802147</v>
      </c>
      <c r="K52" s="6">
        <v>4.10994157780774</v>
      </c>
      <c r="L52" s="6">
        <v>2.56492199961097</v>
      </c>
      <c r="M52" s="6">
        <v>9.46567852348083</v>
      </c>
      <c r="N52" s="6">
        <f t="shared" si="10"/>
        <v>12.7525083525349</v>
      </c>
      <c r="O52" s="7">
        <f t="shared" si="11"/>
        <v>3.78162287408635</v>
      </c>
    </row>
    <row r="53" spans="1:15">
      <c r="A53" s="3" t="s">
        <v>68</v>
      </c>
      <c r="B53" s="3" t="s">
        <v>55</v>
      </c>
      <c r="C53" s="3" t="s">
        <v>61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7"/>
    </row>
    <row r="54" spans="1:15">
      <c r="A54" s="3" t="s">
        <v>68</v>
      </c>
      <c r="B54" s="3" t="s">
        <v>62</v>
      </c>
      <c r="C54" s="3" t="s">
        <v>63</v>
      </c>
      <c r="D54" s="6">
        <v>0</v>
      </c>
      <c r="E54" s="6">
        <v>0</v>
      </c>
      <c r="F54" s="6">
        <v>0</v>
      </c>
      <c r="G54" s="6">
        <v>4.13440184023698</v>
      </c>
      <c r="H54" s="6">
        <v>2.52970182691641</v>
      </c>
      <c r="I54" s="6">
        <v>2.82233175533254</v>
      </c>
      <c r="J54" s="6">
        <v>56.7750955999328</v>
      </c>
      <c r="K54" s="6">
        <v>14.4494899410376</v>
      </c>
      <c r="L54" s="6">
        <v>8.24268647694192</v>
      </c>
      <c r="M54" s="6">
        <v>28.8849624744209</v>
      </c>
      <c r="N54" s="6"/>
      <c r="O54" s="7"/>
    </row>
    <row r="55" spans="1:15"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9"/>
    </row>
    <row r="56" spans="1:15">
      <c r="D56" s="8"/>
      <c r="E56" s="8"/>
      <c r="F56" s="8"/>
      <c r="G56" s="8"/>
      <c r="H56" s="8"/>
      <c r="I56" s="8"/>
      <c r="J56" s="8"/>
      <c r="K56" s="8"/>
      <c r="L56" s="8"/>
      <c r="M56" s="8"/>
      <c r="N56" s="6" t="s">
        <v>52</v>
      </c>
      <c r="O56" s="7" t="s">
        <v>53</v>
      </c>
    </row>
    <row r="57" spans="1:15">
      <c r="A57" s="3" t="s">
        <v>69</v>
      </c>
      <c r="B57" s="3" t="s">
        <v>55</v>
      </c>
      <c r="C57" s="3" t="s">
        <v>56</v>
      </c>
      <c r="D57" s="6">
        <v>0</v>
      </c>
      <c r="E57" s="6">
        <v>1.37319524451526</v>
      </c>
      <c r="F57" s="6">
        <v>0</v>
      </c>
      <c r="G57" s="6">
        <v>6.4527</v>
      </c>
      <c r="H57" s="6">
        <v>0</v>
      </c>
      <c r="I57" s="6">
        <v>0</v>
      </c>
      <c r="J57" s="6">
        <v>38.3723939061423</v>
      </c>
      <c r="K57" s="6">
        <v>7.76948094756735</v>
      </c>
      <c r="L57" s="6">
        <v>1.22261280949231</v>
      </c>
      <c r="M57" s="6">
        <v>0</v>
      </c>
      <c r="N57" s="6">
        <f t="shared" ref="N57:N60" si="12">AVERAGE(I57:M57)</f>
        <v>9.47289753264039</v>
      </c>
      <c r="O57" s="7">
        <f t="shared" ref="O57:O60" si="13">LOG(N57+1,2)</f>
        <v>3.38858874227956</v>
      </c>
    </row>
    <row r="58" spans="1:15">
      <c r="A58" s="3" t="s">
        <v>69</v>
      </c>
      <c r="B58" s="3" t="s">
        <v>55</v>
      </c>
      <c r="C58" s="3" t="s">
        <v>57</v>
      </c>
      <c r="D58" s="6">
        <v>0</v>
      </c>
      <c r="E58" s="6">
        <v>1.96524577572965</v>
      </c>
      <c r="F58" s="6">
        <v>0.220693064355426</v>
      </c>
      <c r="G58" s="6">
        <v>2.42960647715594</v>
      </c>
      <c r="H58" s="6">
        <v>0</v>
      </c>
      <c r="I58" s="6">
        <v>15.0712366852799</v>
      </c>
      <c r="J58" s="6">
        <v>12.5163285874029</v>
      </c>
      <c r="K58" s="6">
        <v>20.1422214888448</v>
      </c>
      <c r="L58" s="6">
        <v>55.1593731066551</v>
      </c>
      <c r="M58" s="6">
        <v>1.81863650273981</v>
      </c>
      <c r="N58" s="6">
        <f t="shared" si="12"/>
        <v>20.9415592741845</v>
      </c>
      <c r="O58" s="7">
        <f t="shared" si="13"/>
        <v>4.45559414921549</v>
      </c>
    </row>
    <row r="59" spans="1:15">
      <c r="A59" s="3" t="s">
        <v>69</v>
      </c>
      <c r="B59" s="3" t="s">
        <v>55</v>
      </c>
      <c r="C59" s="3" t="s">
        <v>58</v>
      </c>
      <c r="D59" s="6">
        <v>0</v>
      </c>
      <c r="E59" s="6">
        <v>1.10871375363357</v>
      </c>
      <c r="F59" s="6">
        <v>10.8124668995396</v>
      </c>
      <c r="G59" s="6">
        <v>3.67948734949345</v>
      </c>
      <c r="H59" s="6">
        <v>0</v>
      </c>
      <c r="I59" s="6">
        <v>0</v>
      </c>
      <c r="J59" s="6">
        <v>113.918701033269</v>
      </c>
      <c r="K59" s="6">
        <v>4.20101646179445</v>
      </c>
      <c r="L59" s="6">
        <v>5.54250620841741</v>
      </c>
      <c r="M59" s="6">
        <v>6.42900743384394</v>
      </c>
      <c r="N59" s="6">
        <f t="shared" si="12"/>
        <v>26.018246227465</v>
      </c>
      <c r="O59" s="7">
        <f t="shared" si="13"/>
        <v>4.75586212628469</v>
      </c>
    </row>
    <row r="60" spans="1:15">
      <c r="A60" s="3" t="s">
        <v>69</v>
      </c>
      <c r="B60" s="3" t="s">
        <v>55</v>
      </c>
      <c r="C60" s="3" t="s">
        <v>59</v>
      </c>
      <c r="D60" s="6">
        <v>0</v>
      </c>
      <c r="E60" s="6">
        <v>0</v>
      </c>
      <c r="F60" s="6">
        <v>0</v>
      </c>
      <c r="G60" s="6">
        <v>3.58339062708438</v>
      </c>
      <c r="H60" s="6">
        <v>0</v>
      </c>
      <c r="I60" s="6">
        <v>2.79097392940605</v>
      </c>
      <c r="J60" s="6">
        <v>215.84456164433</v>
      </c>
      <c r="K60" s="6">
        <v>14.236013852322</v>
      </c>
      <c r="L60" s="6">
        <v>16.5052572593419</v>
      </c>
      <c r="M60" s="6">
        <v>2.74419184197446</v>
      </c>
      <c r="N60" s="6">
        <f t="shared" si="12"/>
        <v>50.4241997054749</v>
      </c>
      <c r="O60" s="7">
        <f t="shared" si="13"/>
        <v>5.68437553171872</v>
      </c>
    </row>
    <row r="61" spans="1:15">
      <c r="A61" s="3" t="s">
        <v>69</v>
      </c>
      <c r="B61" s="3" t="s">
        <v>55</v>
      </c>
      <c r="C61" s="3" t="s">
        <v>60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7"/>
    </row>
    <row r="62" spans="1:15">
      <c r="A62" s="3" t="s">
        <v>69</v>
      </c>
      <c r="B62" s="3" t="s">
        <v>55</v>
      </c>
      <c r="C62" s="3" t="s">
        <v>61</v>
      </c>
      <c r="D62" s="6">
        <v>0</v>
      </c>
      <c r="E62" s="6">
        <v>2.33274746772987</v>
      </c>
      <c r="F62" s="6">
        <v>12.4356846968377</v>
      </c>
      <c r="G62" s="6">
        <v>33.6638722589933</v>
      </c>
      <c r="H62" s="6">
        <v>20.496506258888</v>
      </c>
      <c r="I62" s="6">
        <v>5.34786667087354</v>
      </c>
      <c r="J62" s="6">
        <v>58.774336178458</v>
      </c>
      <c r="K62" s="6">
        <v>5.93595285559694</v>
      </c>
      <c r="L62" s="6">
        <v>13.5035630257319</v>
      </c>
      <c r="M62" s="6">
        <v>39.4640786068745</v>
      </c>
      <c r="N62" s="6">
        <f t="shared" ref="N62:N72" si="14">AVERAGE(I62:M62)</f>
        <v>24.605159467507</v>
      </c>
      <c r="O62" s="7">
        <f t="shared" ref="O62:O72" si="15">LOG(N62+1,2)</f>
        <v>4.67836263902651</v>
      </c>
    </row>
    <row r="63" spans="1:15">
      <c r="A63" s="3" t="s">
        <v>69</v>
      </c>
      <c r="B63" s="3" t="s">
        <v>62</v>
      </c>
      <c r="C63" s="3" t="s">
        <v>63</v>
      </c>
      <c r="D63" s="6">
        <v>0</v>
      </c>
      <c r="E63" s="6">
        <v>0</v>
      </c>
      <c r="F63" s="6">
        <v>0</v>
      </c>
      <c r="G63" s="6">
        <v>4.09042632451643</v>
      </c>
      <c r="H63" s="6">
        <v>0</v>
      </c>
      <c r="I63" s="6">
        <v>1.25593830835656</v>
      </c>
      <c r="J63" s="6">
        <v>14.1715601065257</v>
      </c>
      <c r="K63" s="6">
        <v>1.99303883637035</v>
      </c>
      <c r="L63" s="6">
        <v>18.9831582256782</v>
      </c>
      <c r="M63" s="6">
        <v>53.0918179448326</v>
      </c>
      <c r="N63" s="6">
        <f t="shared" si="14"/>
        <v>17.8991026843527</v>
      </c>
      <c r="O63" s="7">
        <f t="shared" si="15"/>
        <v>4.24024583284872</v>
      </c>
    </row>
    <row r="64" spans="1:15"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9"/>
    </row>
    <row r="65" spans="1:15">
      <c r="D65" s="8"/>
      <c r="E65" s="8"/>
      <c r="F65" s="8"/>
      <c r="G65" s="8"/>
      <c r="H65" s="8"/>
      <c r="I65" s="8"/>
      <c r="J65" s="8"/>
      <c r="K65" s="8"/>
      <c r="L65" s="8"/>
      <c r="M65" s="8"/>
      <c r="N65" s="6" t="s">
        <v>52</v>
      </c>
      <c r="O65" s="7" t="s">
        <v>53</v>
      </c>
    </row>
    <row r="66" spans="1:15">
      <c r="A66" s="3" t="s">
        <v>70</v>
      </c>
      <c r="B66" s="3" t="s">
        <v>55</v>
      </c>
      <c r="C66" s="3" t="s">
        <v>56</v>
      </c>
      <c r="D66" s="6">
        <f t="shared" ref="D66:M66" si="16">SUM(D48,D57)</f>
        <v>0</v>
      </c>
      <c r="E66" s="6">
        <f t="shared" si="16"/>
        <v>1.37319524451526</v>
      </c>
      <c r="F66" s="6">
        <f t="shared" si="16"/>
        <v>0</v>
      </c>
      <c r="G66" s="6">
        <f t="shared" si="16"/>
        <v>6.4527</v>
      </c>
      <c r="H66" s="6">
        <f t="shared" si="16"/>
        <v>0</v>
      </c>
      <c r="I66" s="6">
        <f t="shared" si="16"/>
        <v>0</v>
      </c>
      <c r="J66" s="6">
        <f t="shared" si="16"/>
        <v>38.3723939061423</v>
      </c>
      <c r="K66" s="6">
        <f t="shared" si="16"/>
        <v>7.76948094756735</v>
      </c>
      <c r="L66" s="6">
        <f t="shared" si="16"/>
        <v>1.22261280949231</v>
      </c>
      <c r="M66" s="6">
        <f t="shared" si="16"/>
        <v>0</v>
      </c>
      <c r="N66" s="6">
        <f t="shared" si="14"/>
        <v>9.47289753264039</v>
      </c>
      <c r="O66" s="7">
        <f t="shared" si="15"/>
        <v>3.38858874227956</v>
      </c>
    </row>
    <row r="67" spans="1:15">
      <c r="A67" s="3" t="s">
        <v>70</v>
      </c>
      <c r="B67" s="3" t="s">
        <v>55</v>
      </c>
      <c r="C67" s="3" t="s">
        <v>57</v>
      </c>
      <c r="D67" s="6">
        <f t="shared" ref="D67:M67" si="17">SUM(D49,D58)</f>
        <v>0</v>
      </c>
      <c r="E67" s="6">
        <f t="shared" si="17"/>
        <v>11.9436726051436</v>
      </c>
      <c r="F67" s="6">
        <f t="shared" si="17"/>
        <v>0.220693064355426</v>
      </c>
      <c r="G67" s="6">
        <f t="shared" si="17"/>
        <v>7.28823324210352</v>
      </c>
      <c r="H67" s="6">
        <f t="shared" si="17"/>
        <v>0</v>
      </c>
      <c r="I67" s="6">
        <f t="shared" si="17"/>
        <v>23.0034758399008</v>
      </c>
      <c r="J67" s="6">
        <f t="shared" si="17"/>
        <v>102.451133317088</v>
      </c>
      <c r="K67" s="6">
        <f t="shared" si="17"/>
        <v>92.9648482531061</v>
      </c>
      <c r="L67" s="6">
        <f t="shared" si="17"/>
        <v>96.8070963265747</v>
      </c>
      <c r="M67" s="6">
        <f t="shared" si="17"/>
        <v>16.0171440474238</v>
      </c>
      <c r="N67" s="6">
        <f t="shared" si="14"/>
        <v>66.2487395568187</v>
      </c>
      <c r="O67" s="7">
        <f t="shared" si="15"/>
        <v>6.07143532237568</v>
      </c>
    </row>
    <row r="68" spans="1:15">
      <c r="A68" s="3" t="s">
        <v>70</v>
      </c>
      <c r="B68" s="3" t="s">
        <v>55</v>
      </c>
      <c r="C68" s="3" t="s">
        <v>58</v>
      </c>
      <c r="D68" s="6">
        <f t="shared" ref="D68:M68" si="18">SUM(D50,D59)</f>
        <v>0</v>
      </c>
      <c r="E68" s="6">
        <f t="shared" si="18"/>
        <v>4.56970125897585</v>
      </c>
      <c r="F68" s="6">
        <f t="shared" si="18"/>
        <v>22.130459765686</v>
      </c>
      <c r="G68" s="6">
        <f t="shared" si="18"/>
        <v>5.37988734949345</v>
      </c>
      <c r="H68" s="6">
        <f t="shared" si="18"/>
        <v>0</v>
      </c>
      <c r="I68" s="6">
        <f t="shared" si="18"/>
        <v>0</v>
      </c>
      <c r="J68" s="6">
        <f t="shared" si="18"/>
        <v>167.879313512843</v>
      </c>
      <c r="K68" s="6">
        <f t="shared" si="18"/>
        <v>11.6708163910752</v>
      </c>
      <c r="L68" s="6">
        <f t="shared" si="18"/>
        <v>7.18132491186013</v>
      </c>
      <c r="M68" s="6">
        <f t="shared" si="18"/>
        <v>9.45352253317954</v>
      </c>
      <c r="N68" s="6">
        <f t="shared" si="14"/>
        <v>39.2369954697916</v>
      </c>
      <c r="O68" s="7">
        <f t="shared" si="15"/>
        <v>5.3304506768036</v>
      </c>
    </row>
    <row r="69" spans="1:15">
      <c r="A69" s="3" t="s">
        <v>70</v>
      </c>
      <c r="B69" s="3" t="s">
        <v>55</v>
      </c>
      <c r="C69" s="3" t="s">
        <v>59</v>
      </c>
      <c r="D69" s="6">
        <f t="shared" ref="D69:M69" si="19">SUM(D51,D60)</f>
        <v>0</v>
      </c>
      <c r="E69" s="6">
        <f t="shared" si="19"/>
        <v>0</v>
      </c>
      <c r="F69" s="6">
        <f t="shared" si="19"/>
        <v>0</v>
      </c>
      <c r="G69" s="6">
        <f t="shared" si="19"/>
        <v>3.58339062708438</v>
      </c>
      <c r="H69" s="6">
        <f t="shared" si="19"/>
        <v>0</v>
      </c>
      <c r="I69" s="6">
        <f t="shared" si="19"/>
        <v>2.79097392940605</v>
      </c>
      <c r="J69" s="6">
        <f t="shared" si="19"/>
        <v>215.84456164433</v>
      </c>
      <c r="K69" s="6">
        <f t="shared" si="19"/>
        <v>14.236013852322</v>
      </c>
      <c r="L69" s="6">
        <f t="shared" si="19"/>
        <v>16.5052572593419</v>
      </c>
      <c r="M69" s="6">
        <f t="shared" si="19"/>
        <v>2.74419184197446</v>
      </c>
      <c r="N69" s="6">
        <f t="shared" si="14"/>
        <v>50.4241997054749</v>
      </c>
      <c r="O69" s="7">
        <f t="shared" si="15"/>
        <v>5.68437553171872</v>
      </c>
    </row>
    <row r="70" spans="1:15">
      <c r="A70" s="3" t="s">
        <v>70</v>
      </c>
      <c r="B70" s="3" t="s">
        <v>55</v>
      </c>
      <c r="C70" s="3" t="s">
        <v>60</v>
      </c>
      <c r="D70" s="6">
        <f t="shared" ref="D70:M70" si="20">SUM(D52,D61)</f>
        <v>0</v>
      </c>
      <c r="E70" s="6">
        <f t="shared" si="20"/>
        <v>1.91292156178894</v>
      </c>
      <c r="F70" s="6">
        <f t="shared" si="20"/>
        <v>14.6209014023961</v>
      </c>
      <c r="G70" s="6">
        <f t="shared" si="20"/>
        <v>4.12206733129817</v>
      </c>
      <c r="H70" s="6">
        <f t="shared" si="20"/>
        <v>0</v>
      </c>
      <c r="I70" s="6">
        <f t="shared" si="20"/>
        <v>3.79151288156034</v>
      </c>
      <c r="J70" s="6">
        <f t="shared" si="20"/>
        <v>43.8304867802147</v>
      </c>
      <c r="K70" s="6">
        <f t="shared" si="20"/>
        <v>4.10994157780774</v>
      </c>
      <c r="L70" s="6">
        <f t="shared" si="20"/>
        <v>2.56492199961097</v>
      </c>
      <c r="M70" s="6">
        <f t="shared" si="20"/>
        <v>9.46567852348083</v>
      </c>
      <c r="N70" s="6">
        <f t="shared" si="14"/>
        <v>12.7525083525349</v>
      </c>
      <c r="O70" s="7">
        <f t="shared" si="15"/>
        <v>3.78162287408635</v>
      </c>
    </row>
    <row r="71" spans="1:15">
      <c r="A71" s="3" t="s">
        <v>70</v>
      </c>
      <c r="B71" s="3" t="s">
        <v>55</v>
      </c>
      <c r="C71" s="3" t="s">
        <v>61</v>
      </c>
      <c r="D71" s="6">
        <f t="shared" ref="D71:M71" si="21">SUM(D53,D62)</f>
        <v>0</v>
      </c>
      <c r="E71" s="6">
        <f t="shared" si="21"/>
        <v>2.33274746772987</v>
      </c>
      <c r="F71" s="6">
        <f t="shared" si="21"/>
        <v>12.4356846968377</v>
      </c>
      <c r="G71" s="6">
        <f t="shared" si="21"/>
        <v>33.6638722589933</v>
      </c>
      <c r="H71" s="6">
        <f t="shared" si="21"/>
        <v>20.496506258888</v>
      </c>
      <c r="I71" s="6">
        <f t="shared" si="21"/>
        <v>5.34786667087354</v>
      </c>
      <c r="J71" s="6">
        <f t="shared" si="21"/>
        <v>58.774336178458</v>
      </c>
      <c r="K71" s="6">
        <f t="shared" si="21"/>
        <v>5.93595285559694</v>
      </c>
      <c r="L71" s="6">
        <f t="shared" si="21"/>
        <v>13.5035630257319</v>
      </c>
      <c r="M71" s="6">
        <f t="shared" si="21"/>
        <v>39.4640786068745</v>
      </c>
      <c r="N71" s="6">
        <f t="shared" si="14"/>
        <v>24.605159467507</v>
      </c>
      <c r="O71" s="7">
        <f t="shared" si="15"/>
        <v>4.67836263902651</v>
      </c>
    </row>
    <row r="72" spans="1:15">
      <c r="A72" s="3" t="s">
        <v>70</v>
      </c>
      <c r="B72" s="3" t="s">
        <v>62</v>
      </c>
      <c r="C72" s="3" t="s">
        <v>63</v>
      </c>
      <c r="D72" s="6">
        <f t="shared" ref="D72:M72" si="22">SUM(D54,D63)</f>
        <v>0</v>
      </c>
      <c r="E72" s="6">
        <f t="shared" si="22"/>
        <v>0</v>
      </c>
      <c r="F72" s="6">
        <f t="shared" si="22"/>
        <v>0</v>
      </c>
      <c r="G72" s="6">
        <f t="shared" si="22"/>
        <v>8.22482816475341</v>
      </c>
      <c r="H72" s="6">
        <f t="shared" si="22"/>
        <v>2.52970182691641</v>
      </c>
      <c r="I72" s="6">
        <f t="shared" si="22"/>
        <v>4.0782700636891</v>
      </c>
      <c r="J72" s="6">
        <f t="shared" si="22"/>
        <v>70.9466557064585</v>
      </c>
      <c r="K72" s="6">
        <f t="shared" si="22"/>
        <v>16.442528777408</v>
      </c>
      <c r="L72" s="6">
        <f t="shared" si="22"/>
        <v>27.2258447026201</v>
      </c>
      <c r="M72" s="6">
        <f t="shared" si="22"/>
        <v>81.9767804192535</v>
      </c>
      <c r="N72" s="6">
        <f t="shared" si="14"/>
        <v>40.1340159338858</v>
      </c>
      <c r="O72" s="7">
        <f t="shared" si="15"/>
        <v>5.36226002461694</v>
      </c>
    </row>
    <row r="73" spans="1:15"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9"/>
    </row>
    <row r="74" spans="1:15">
      <c r="D74" s="8"/>
      <c r="E74" s="8"/>
      <c r="F74" s="8"/>
      <c r="G74" s="8"/>
      <c r="H74" s="8"/>
      <c r="I74" s="8"/>
      <c r="J74" s="8"/>
      <c r="K74" s="8"/>
      <c r="L74" s="8"/>
      <c r="M74" s="8"/>
      <c r="N74" s="6" t="s">
        <v>52</v>
      </c>
      <c r="O74" s="7" t="s">
        <v>53</v>
      </c>
    </row>
    <row r="75" spans="1:15">
      <c r="A75" s="3" t="s">
        <v>71</v>
      </c>
      <c r="B75" s="3" t="s">
        <v>55</v>
      </c>
      <c r="C75" s="3" t="s">
        <v>56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6.33819214443008</v>
      </c>
      <c r="K75" s="6">
        <v>8.17401087956338</v>
      </c>
      <c r="L75" s="6">
        <v>1.91365603745252</v>
      </c>
      <c r="M75" s="6">
        <v>0</v>
      </c>
      <c r="N75" s="6">
        <f t="shared" ref="N75:N77" si="23">AVERAGE(I75:M75)</f>
        <v>3.2851718122892</v>
      </c>
      <c r="O75" s="7">
        <f t="shared" ref="O75:O77" si="24">LOG(N75+1,2)</f>
        <v>2.0993530497913</v>
      </c>
    </row>
    <row r="76" spans="1:15">
      <c r="A76" s="3" t="s">
        <v>71</v>
      </c>
      <c r="B76" s="3" t="s">
        <v>55</v>
      </c>
      <c r="C76" s="3" t="s">
        <v>57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f t="shared" si="23"/>
        <v>0</v>
      </c>
      <c r="O76" s="7">
        <f t="shared" si="24"/>
        <v>0</v>
      </c>
    </row>
    <row r="77" spans="1:15">
      <c r="A77" s="3" t="s">
        <v>71</v>
      </c>
      <c r="B77" s="3" t="s">
        <v>55</v>
      </c>
      <c r="C77" s="3" t="s">
        <v>58</v>
      </c>
      <c r="D77" s="6">
        <v>0</v>
      </c>
      <c r="E77" s="6">
        <v>0</v>
      </c>
      <c r="F77" s="6">
        <v>0</v>
      </c>
      <c r="G77" s="6">
        <v>11.0486012155787</v>
      </c>
      <c r="H77" s="6">
        <v>0</v>
      </c>
      <c r="I77" s="6">
        <v>0</v>
      </c>
      <c r="J77" s="6">
        <v>0</v>
      </c>
      <c r="K77" s="6">
        <v>13.0367118733623</v>
      </c>
      <c r="L77" s="6">
        <v>5.04633573983135</v>
      </c>
      <c r="M77" s="6">
        <v>10.2362917535874</v>
      </c>
      <c r="N77" s="6">
        <f t="shared" si="23"/>
        <v>5.66386787335621</v>
      </c>
      <c r="O77" s="7">
        <f t="shared" si="24"/>
        <v>2.73635979621014</v>
      </c>
    </row>
    <row r="78" spans="1:15">
      <c r="A78" s="3" t="s">
        <v>71</v>
      </c>
      <c r="B78" s="3" t="s">
        <v>55</v>
      </c>
      <c r="C78" s="3" t="s">
        <v>59</v>
      </c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7"/>
    </row>
    <row r="79" spans="1:15">
      <c r="A79" s="3" t="s">
        <v>71</v>
      </c>
      <c r="B79" s="3" t="s">
        <v>55</v>
      </c>
      <c r="C79" s="3" t="s">
        <v>60</v>
      </c>
      <c r="D79" s="6">
        <v>0</v>
      </c>
      <c r="E79" s="6">
        <v>0</v>
      </c>
      <c r="F79" s="6">
        <v>0</v>
      </c>
      <c r="G79" s="6">
        <v>17.1190111214168</v>
      </c>
      <c r="H79" s="6">
        <v>0</v>
      </c>
      <c r="I79" s="6">
        <v>6.6983380857296</v>
      </c>
      <c r="J79" s="6">
        <v>0</v>
      </c>
      <c r="K79" s="6">
        <v>16.4042541843794</v>
      </c>
      <c r="L79" s="6">
        <v>3.17551212766448</v>
      </c>
      <c r="M79" s="6">
        <v>16.786340701937</v>
      </c>
      <c r="N79" s="6">
        <f t="shared" ref="N79:N81" si="25">AVERAGE(I79:M79)</f>
        <v>8.6128890199421</v>
      </c>
      <c r="O79" s="7">
        <f t="shared" ref="O79:O81" si="26">LOG(N79+1,2)</f>
        <v>3.26497007807159</v>
      </c>
    </row>
    <row r="80" spans="1:15">
      <c r="A80" s="3" t="s">
        <v>71</v>
      </c>
      <c r="B80" s="3" t="s">
        <v>55</v>
      </c>
      <c r="C80" s="3" t="s">
        <v>61</v>
      </c>
      <c r="D80" s="6">
        <v>0</v>
      </c>
      <c r="E80" s="6">
        <v>0</v>
      </c>
      <c r="F80" s="6">
        <v>0</v>
      </c>
      <c r="G80" s="6">
        <v>3.48792202677245</v>
      </c>
      <c r="H80" s="6">
        <v>0</v>
      </c>
      <c r="I80" s="6">
        <v>3.44092649083196</v>
      </c>
      <c r="J80" s="6">
        <v>0</v>
      </c>
      <c r="K80" s="6">
        <v>20.6137319911121</v>
      </c>
      <c r="L80" s="6">
        <v>2.95095288061919</v>
      </c>
      <c r="M80" s="6">
        <v>3.02861008191536</v>
      </c>
      <c r="N80" s="6">
        <f t="shared" si="25"/>
        <v>6.00684428889572</v>
      </c>
      <c r="O80" s="7">
        <f t="shared" si="26"/>
        <v>2.80876483598689</v>
      </c>
    </row>
    <row r="81" spans="1:15">
      <c r="A81" s="3" t="s">
        <v>71</v>
      </c>
      <c r="B81" s="3" t="s">
        <v>62</v>
      </c>
      <c r="C81" s="3" t="s">
        <v>63</v>
      </c>
      <c r="D81" s="6">
        <v>0</v>
      </c>
      <c r="E81" s="6">
        <v>0</v>
      </c>
      <c r="F81" s="6">
        <v>0</v>
      </c>
      <c r="G81" s="6">
        <v>27.0410771472717</v>
      </c>
      <c r="H81" s="6">
        <v>0</v>
      </c>
      <c r="I81" s="6">
        <v>20.9323018223937</v>
      </c>
      <c r="J81" s="6">
        <v>0</v>
      </c>
      <c r="K81" s="6">
        <v>0</v>
      </c>
      <c r="L81" s="6">
        <v>40.9058814411992</v>
      </c>
      <c r="M81" s="6">
        <v>20.7339479859961</v>
      </c>
      <c r="N81" s="6">
        <f t="shared" si="25"/>
        <v>16.5144262499178</v>
      </c>
      <c r="O81" s="7">
        <f t="shared" si="26"/>
        <v>4.13047182296704</v>
      </c>
    </row>
    <row r="82" spans="1:15"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9"/>
    </row>
    <row r="83" spans="1:15">
      <c r="D83" s="8"/>
      <c r="E83" s="8"/>
      <c r="F83" s="8"/>
      <c r="G83" s="8"/>
      <c r="H83" s="8"/>
      <c r="I83" s="8"/>
      <c r="J83" s="8"/>
      <c r="K83" s="8"/>
      <c r="L83" s="8"/>
      <c r="M83" s="8"/>
      <c r="N83" s="6" t="s">
        <v>52</v>
      </c>
      <c r="O83" s="7" t="s">
        <v>53</v>
      </c>
    </row>
    <row r="84" spans="1:15">
      <c r="A84" s="3" t="s">
        <v>72</v>
      </c>
      <c r="B84" s="3" t="s">
        <v>55</v>
      </c>
      <c r="C84" s="3" t="s">
        <v>56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7.59158796085571</v>
      </c>
      <c r="K84" s="6">
        <v>8.10108842569538</v>
      </c>
      <c r="L84" s="6">
        <v>0</v>
      </c>
      <c r="M84" s="6">
        <v>0</v>
      </c>
      <c r="N84" s="6">
        <f t="shared" ref="N84:N87" si="27">AVERAGE(I84:M84)</f>
        <v>3.13853527731022</v>
      </c>
      <c r="O84" s="7">
        <f t="shared" ref="O84:O87" si="28">LOG(N84+1,2)</f>
        <v>2.0491202551491</v>
      </c>
    </row>
    <row r="85" spans="1:15">
      <c r="A85" s="3" t="s">
        <v>72</v>
      </c>
      <c r="B85" s="3" t="s">
        <v>55</v>
      </c>
      <c r="C85" s="3" t="s">
        <v>57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6.13984757160005</v>
      </c>
      <c r="N85" s="6">
        <f t="shared" si="27"/>
        <v>1.22796951432001</v>
      </c>
      <c r="O85" s="7">
        <f t="shared" si="28"/>
        <v>1.15572949217514</v>
      </c>
    </row>
    <row r="86" spans="1:15">
      <c r="A86" s="3" t="s">
        <v>72</v>
      </c>
      <c r="B86" s="3" t="s">
        <v>55</v>
      </c>
      <c r="C86" s="3" t="s">
        <v>58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21.700642335268</v>
      </c>
      <c r="L86" s="6">
        <v>0</v>
      </c>
      <c r="M86" s="6">
        <v>0</v>
      </c>
      <c r="N86" s="6">
        <f t="shared" si="27"/>
        <v>4.3401284670536</v>
      </c>
      <c r="O86" s="7">
        <f t="shared" si="28"/>
        <v>2.41687444913226</v>
      </c>
    </row>
    <row r="87" spans="1:15">
      <c r="A87" s="3" t="s">
        <v>72</v>
      </c>
      <c r="B87" s="3" t="s">
        <v>55</v>
      </c>
      <c r="C87" s="3" t="s">
        <v>59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4.28882258410256</v>
      </c>
      <c r="L87" s="6">
        <v>0</v>
      </c>
      <c r="M87" s="6">
        <v>0</v>
      </c>
      <c r="N87" s="6">
        <f t="shared" si="27"/>
        <v>0.857764516820512</v>
      </c>
      <c r="O87" s="7">
        <f t="shared" si="28"/>
        <v>0.893567642761567</v>
      </c>
    </row>
    <row r="88" spans="1:15">
      <c r="A88" s="3" t="s">
        <v>72</v>
      </c>
      <c r="B88" s="3" t="s">
        <v>55</v>
      </c>
      <c r="C88" s="3" t="s">
        <v>60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/>
      <c r="O88" s="7"/>
    </row>
    <row r="89" spans="1:15">
      <c r="A89" s="3" t="s">
        <v>72</v>
      </c>
      <c r="B89" s="3" t="s">
        <v>55</v>
      </c>
      <c r="C89" s="3" t="s">
        <v>61</v>
      </c>
      <c r="D89" s="6">
        <v>0</v>
      </c>
      <c r="E89" s="6">
        <v>0</v>
      </c>
      <c r="F89" s="6">
        <v>0</v>
      </c>
      <c r="G89" s="6">
        <v>2.98680684886347</v>
      </c>
      <c r="H89" s="6">
        <v>1.60986234535633</v>
      </c>
      <c r="I89" s="6">
        <v>0</v>
      </c>
      <c r="J89" s="6">
        <v>0</v>
      </c>
      <c r="K89" s="6">
        <v>1.96358704217331</v>
      </c>
      <c r="L89" s="6">
        <v>3.11290098071602</v>
      </c>
      <c r="M89" s="6">
        <v>0</v>
      </c>
      <c r="N89" s="6">
        <f t="shared" ref="N89:N95" si="29">AVERAGE(I89:M89)</f>
        <v>1.01529760457787</v>
      </c>
      <c r="O89" s="7">
        <f t="shared" ref="O89:O95" si="30">LOG(N89+1,2)</f>
        <v>1.01099290125708</v>
      </c>
    </row>
    <row r="90" spans="1:15">
      <c r="A90" s="3" t="s">
        <v>72</v>
      </c>
      <c r="B90" s="3" t="s">
        <v>62</v>
      </c>
      <c r="C90" s="3" t="s">
        <v>63</v>
      </c>
      <c r="D90" s="6">
        <v>0</v>
      </c>
      <c r="E90" s="6">
        <v>0</v>
      </c>
      <c r="F90" s="6">
        <v>0.190775795168016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6.72824043671211</v>
      </c>
      <c r="M90" s="6">
        <v>0</v>
      </c>
      <c r="N90" s="6">
        <f t="shared" si="29"/>
        <v>1.34564808734242</v>
      </c>
      <c r="O90" s="7">
        <f t="shared" si="30"/>
        <v>1.22998658509328</v>
      </c>
    </row>
    <row r="91" spans="1:15"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9"/>
    </row>
    <row r="92" spans="1:15">
      <c r="D92" s="8"/>
      <c r="E92" s="8"/>
      <c r="F92" s="8"/>
      <c r="G92" s="8"/>
      <c r="H92" s="8"/>
      <c r="I92" s="8"/>
      <c r="J92" s="8"/>
      <c r="K92" s="8"/>
      <c r="L92" s="8"/>
      <c r="M92" s="8"/>
      <c r="N92" s="6" t="s">
        <v>52</v>
      </c>
      <c r="O92" s="7" t="s">
        <v>53</v>
      </c>
    </row>
    <row r="93" spans="1:15">
      <c r="A93" s="3" t="s">
        <v>73</v>
      </c>
      <c r="B93" s="3" t="s">
        <v>55</v>
      </c>
      <c r="C93" s="3" t="s">
        <v>56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2.95093882654333</v>
      </c>
      <c r="J93" s="6">
        <v>20.9987166238875</v>
      </c>
      <c r="K93" s="6">
        <v>8.12129420230891</v>
      </c>
      <c r="L93" s="6">
        <v>6.2824798450485</v>
      </c>
      <c r="M93" s="6">
        <v>1.10723528331977</v>
      </c>
      <c r="N93" s="6">
        <f t="shared" si="29"/>
        <v>7.8921329562216</v>
      </c>
      <c r="O93" s="7">
        <f t="shared" si="30"/>
        <v>3.15252951987272</v>
      </c>
    </row>
    <row r="94" spans="1:15">
      <c r="A94" s="3" t="s">
        <v>73</v>
      </c>
      <c r="B94" s="3" t="s">
        <v>55</v>
      </c>
      <c r="C94" s="3" t="s">
        <v>57</v>
      </c>
      <c r="D94" s="6">
        <v>0</v>
      </c>
      <c r="E94" s="6">
        <v>15.8885963261806</v>
      </c>
      <c r="F94" s="6">
        <v>111.651228647444</v>
      </c>
      <c r="G94" s="6">
        <v>1.76826213381908</v>
      </c>
      <c r="H94" s="6">
        <v>0</v>
      </c>
      <c r="I94" s="6">
        <v>7.6288920373413</v>
      </c>
      <c r="J94" s="6">
        <v>24.3852932219102</v>
      </c>
      <c r="K94" s="6">
        <v>9.52980998079145</v>
      </c>
      <c r="L94" s="6">
        <v>24.3877467155821</v>
      </c>
      <c r="M94" s="6">
        <v>1.02722797399342</v>
      </c>
      <c r="N94" s="6">
        <f t="shared" si="29"/>
        <v>13.3917939859237</v>
      </c>
      <c r="O94" s="7">
        <f t="shared" si="30"/>
        <v>3.84717453500424</v>
      </c>
    </row>
    <row r="95" spans="1:15">
      <c r="A95" s="3" t="s">
        <v>73</v>
      </c>
      <c r="B95" s="3" t="s">
        <v>55</v>
      </c>
      <c r="C95" s="3" t="s">
        <v>58</v>
      </c>
      <c r="D95" s="6">
        <v>0</v>
      </c>
      <c r="E95" s="6">
        <v>2.01739946869322</v>
      </c>
      <c r="F95" s="6">
        <v>45.8966544362333</v>
      </c>
      <c r="G95" s="6">
        <v>233.2954</v>
      </c>
      <c r="H95" s="6">
        <v>7.83118742548328</v>
      </c>
      <c r="I95" s="6">
        <v>7.94660471361307</v>
      </c>
      <c r="J95" s="6">
        <v>9.06330597889801</v>
      </c>
      <c r="K95" s="6">
        <v>5.60947438710175</v>
      </c>
      <c r="L95" s="6">
        <v>2.22982332232862</v>
      </c>
      <c r="M95" s="6">
        <v>6.15662180782217</v>
      </c>
      <c r="N95" s="6">
        <f t="shared" si="29"/>
        <v>6.20116604195272</v>
      </c>
      <c r="O95" s="7">
        <f t="shared" si="30"/>
        <v>2.84823053249072</v>
      </c>
    </row>
    <row r="96" spans="1:15">
      <c r="A96" s="3" t="s">
        <v>73</v>
      </c>
      <c r="B96" s="3" t="s">
        <v>55</v>
      </c>
      <c r="C96" s="3" t="s">
        <v>59</v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7"/>
    </row>
    <row r="97" spans="1:15">
      <c r="A97" s="3" t="s">
        <v>73</v>
      </c>
      <c r="B97" s="3" t="s">
        <v>55</v>
      </c>
      <c r="C97" s="3" t="s">
        <v>60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f t="shared" ref="N97:N99" si="31">AVERAGE(I97:M97)</f>
        <v>0</v>
      </c>
      <c r="O97" s="7">
        <f t="shared" ref="O97:O99" si="32">LOG(N97+1,2)</f>
        <v>0</v>
      </c>
    </row>
    <row r="98" spans="1:15">
      <c r="A98" s="3" t="s">
        <v>73</v>
      </c>
      <c r="B98" s="3" t="s">
        <v>55</v>
      </c>
      <c r="C98" s="3" t="s">
        <v>61</v>
      </c>
      <c r="D98" s="6">
        <v>0</v>
      </c>
      <c r="E98" s="6">
        <v>2.34879757202517</v>
      </c>
      <c r="F98" s="6">
        <v>0.779781322339411</v>
      </c>
      <c r="G98" s="6">
        <v>0</v>
      </c>
      <c r="H98" s="6">
        <v>0</v>
      </c>
      <c r="I98" s="6">
        <v>4.13018081424587</v>
      </c>
      <c r="J98" s="6">
        <v>0</v>
      </c>
      <c r="K98" s="6">
        <v>2.77837730745489</v>
      </c>
      <c r="L98" s="6">
        <v>6.4894860207243</v>
      </c>
      <c r="M98" s="6">
        <v>5.43398892749672</v>
      </c>
      <c r="N98" s="6">
        <f t="shared" si="31"/>
        <v>3.76640661398436</v>
      </c>
      <c r="O98" s="7">
        <f t="shared" si="32"/>
        <v>2.25290203062099</v>
      </c>
    </row>
    <row r="99" spans="1:15">
      <c r="A99" s="3" t="s">
        <v>73</v>
      </c>
      <c r="B99" s="3" t="s">
        <v>62</v>
      </c>
      <c r="C99" s="3" t="s">
        <v>63</v>
      </c>
      <c r="D99" s="6">
        <v>0</v>
      </c>
      <c r="E99" s="6">
        <v>2.71910307710009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3.04023194259574</v>
      </c>
      <c r="M99" s="6">
        <v>0</v>
      </c>
      <c r="N99" s="6">
        <f t="shared" si="31"/>
        <v>0.608046388519148</v>
      </c>
      <c r="O99" s="7">
        <f t="shared" si="32"/>
        <v>0.685309025622071</v>
      </c>
    </row>
    <row r="100" spans="1:15"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9"/>
    </row>
    <row r="101" spans="1:15"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6" t="s">
        <v>52</v>
      </c>
      <c r="O101" s="7" t="s">
        <v>53</v>
      </c>
    </row>
    <row r="102" spans="1:15">
      <c r="A102" s="3" t="s">
        <v>74</v>
      </c>
      <c r="B102" s="3" t="s">
        <v>55</v>
      </c>
      <c r="C102" s="3" t="s">
        <v>56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4.00129439365747</v>
      </c>
      <c r="M102" s="6">
        <v>0</v>
      </c>
      <c r="N102" s="6">
        <f t="shared" ref="N102:N108" si="33">AVERAGE(I102:M102)</f>
        <v>0.800258878731494</v>
      </c>
      <c r="O102" s="7">
        <f t="shared" ref="O102:O108" si="34">LOG(N102+1,2)</f>
        <v>0.84820438222564</v>
      </c>
    </row>
    <row r="103" spans="1:15">
      <c r="A103" s="3" t="s">
        <v>74</v>
      </c>
      <c r="B103" s="3" t="s">
        <v>55</v>
      </c>
      <c r="C103" s="3" t="s">
        <v>57</v>
      </c>
      <c r="D103" s="6">
        <v>0</v>
      </c>
      <c r="E103" s="6">
        <v>1.37258802679327</v>
      </c>
      <c r="F103" s="6">
        <v>0</v>
      </c>
      <c r="G103" s="6">
        <v>0</v>
      </c>
      <c r="H103" s="6">
        <v>0</v>
      </c>
      <c r="I103" s="6">
        <v>0</v>
      </c>
      <c r="J103" s="6">
        <v>11.4900556619197</v>
      </c>
      <c r="K103" s="6">
        <v>0</v>
      </c>
      <c r="L103" s="6">
        <v>1.5682908260373</v>
      </c>
      <c r="M103" s="6">
        <v>7.2726</v>
      </c>
      <c r="N103" s="6">
        <f t="shared" si="33"/>
        <v>4.0661892975914</v>
      </c>
      <c r="O103" s="7">
        <f t="shared" si="34"/>
        <v>2.34090098419494</v>
      </c>
    </row>
    <row r="104" spans="1:15">
      <c r="A104" s="3" t="s">
        <v>74</v>
      </c>
      <c r="B104" s="3" t="s">
        <v>55</v>
      </c>
      <c r="C104" s="3" t="s">
        <v>58</v>
      </c>
      <c r="D104" s="6">
        <v>0</v>
      </c>
      <c r="E104" s="6">
        <v>0.0229242401695047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1.76460874290679</v>
      </c>
      <c r="L104" s="6">
        <v>0.637884308833063</v>
      </c>
      <c r="M104" s="6">
        <v>1.38084047525714</v>
      </c>
      <c r="N104" s="6">
        <f t="shared" si="33"/>
        <v>0.756666705399399</v>
      </c>
      <c r="O104" s="7">
        <f t="shared" si="34"/>
        <v>0.812840492951307</v>
      </c>
    </row>
    <row r="105" spans="1:15">
      <c r="A105" s="3" t="s">
        <v>74</v>
      </c>
      <c r="B105" s="3" t="s">
        <v>55</v>
      </c>
      <c r="C105" s="3" t="s">
        <v>59</v>
      </c>
      <c r="D105" s="6">
        <v>0</v>
      </c>
      <c r="E105" s="6">
        <v>0.638410289182524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0.69557870471858</v>
      </c>
      <c r="M105" s="6">
        <v>0</v>
      </c>
      <c r="N105" s="6">
        <f t="shared" si="33"/>
        <v>0.139115740943716</v>
      </c>
      <c r="O105" s="7">
        <f t="shared" si="34"/>
        <v>0.187914340902228</v>
      </c>
    </row>
    <row r="106" spans="1:15">
      <c r="A106" s="3" t="s">
        <v>74</v>
      </c>
      <c r="B106" s="3" t="s">
        <v>55</v>
      </c>
      <c r="C106" s="3" t="s">
        <v>60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2.09762134708562</v>
      </c>
      <c r="M106" s="6">
        <v>0</v>
      </c>
      <c r="N106" s="6">
        <f t="shared" si="33"/>
        <v>0.419524269417124</v>
      </c>
      <c r="O106" s="7">
        <f t="shared" si="34"/>
        <v>0.505407514837873</v>
      </c>
    </row>
    <row r="107" spans="1:15">
      <c r="A107" s="3" t="s">
        <v>74</v>
      </c>
      <c r="B107" s="3" t="s">
        <v>55</v>
      </c>
      <c r="C107" s="3" t="s">
        <v>61</v>
      </c>
      <c r="D107" s="6">
        <v>0</v>
      </c>
      <c r="E107" s="6">
        <v>0.252595881749151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0.880765908316591</v>
      </c>
      <c r="M107" s="6">
        <v>0</v>
      </c>
      <c r="N107" s="6">
        <f t="shared" si="33"/>
        <v>0.176153181663318</v>
      </c>
      <c r="O107" s="7">
        <f t="shared" si="34"/>
        <v>0.234075968366702</v>
      </c>
    </row>
    <row r="108" spans="1:15">
      <c r="A108" s="3" t="s">
        <v>74</v>
      </c>
      <c r="B108" s="3" t="s">
        <v>62</v>
      </c>
      <c r="C108" s="3" t="s">
        <v>63</v>
      </c>
      <c r="D108" s="6">
        <v>0</v>
      </c>
      <c r="E108" s="6">
        <v>3.16346851021097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0.933702821947205</v>
      </c>
      <c r="M108" s="6">
        <v>6.77298007432123</v>
      </c>
      <c r="N108" s="6">
        <f t="shared" si="33"/>
        <v>1.54133657925369</v>
      </c>
      <c r="O108" s="7">
        <f t="shared" si="34"/>
        <v>1.3455874612091</v>
      </c>
    </row>
    <row r="109" spans="1:15"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9"/>
    </row>
    <row r="110" spans="1:15"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6" t="s">
        <v>52</v>
      </c>
      <c r="O110" s="7" t="s">
        <v>53</v>
      </c>
    </row>
    <row r="111" spans="1:15">
      <c r="A111" s="3" t="s">
        <v>75</v>
      </c>
      <c r="B111" s="3" t="s">
        <v>55</v>
      </c>
      <c r="C111" s="3" t="s">
        <v>56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20.7849668054462</v>
      </c>
      <c r="K111" s="6">
        <v>7.19708927983409</v>
      </c>
      <c r="L111" s="6">
        <v>0</v>
      </c>
      <c r="M111" s="6">
        <v>1.08918777401932</v>
      </c>
      <c r="N111" s="6">
        <f t="shared" ref="N111:N117" si="35">AVERAGE(I111:M111)</f>
        <v>5.81424877185992</v>
      </c>
      <c r="O111" s="7">
        <f t="shared" ref="O111:O117" si="36">LOG(N111+1,2)</f>
        <v>2.76855461772736</v>
      </c>
    </row>
    <row r="112" spans="1:15">
      <c r="A112" s="3" t="s">
        <v>75</v>
      </c>
      <c r="B112" s="3" t="s">
        <v>55</v>
      </c>
      <c r="C112" s="3" t="s">
        <v>57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3.94998283505232</v>
      </c>
      <c r="M112" s="6">
        <v>0</v>
      </c>
      <c r="N112" s="6">
        <f t="shared" si="35"/>
        <v>0.789996567010464</v>
      </c>
      <c r="O112" s="7">
        <f t="shared" si="36"/>
        <v>0.839956820583538</v>
      </c>
    </row>
    <row r="113" spans="1:15">
      <c r="A113" s="3" t="s">
        <v>75</v>
      </c>
      <c r="B113" s="3" t="s">
        <v>55</v>
      </c>
      <c r="C113" s="3" t="s">
        <v>58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2.63128466816115</v>
      </c>
      <c r="L113" s="6">
        <v>0</v>
      </c>
      <c r="M113" s="6">
        <v>0</v>
      </c>
      <c r="N113" s="6">
        <f t="shared" si="35"/>
        <v>0.52625693363223</v>
      </c>
      <c r="O113" s="7">
        <f t="shared" si="36"/>
        <v>0.609997849246495</v>
      </c>
    </row>
    <row r="114" spans="1:15">
      <c r="A114" s="3" t="s">
        <v>75</v>
      </c>
      <c r="B114" s="3" t="s">
        <v>55</v>
      </c>
      <c r="C114" s="3" t="s">
        <v>59</v>
      </c>
      <c r="D114" s="6">
        <v>0</v>
      </c>
      <c r="E114" s="6">
        <v>1.93437080072173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6.58398682305567</v>
      </c>
      <c r="L114" s="6">
        <v>0</v>
      </c>
      <c r="M114" s="6">
        <v>0</v>
      </c>
      <c r="N114" s="6">
        <f t="shared" si="35"/>
        <v>1.31679736461113</v>
      </c>
      <c r="O114" s="7">
        <f t="shared" si="36"/>
        <v>1.21213186644924</v>
      </c>
    </row>
    <row r="115" spans="1:15">
      <c r="A115" s="3" t="s">
        <v>75</v>
      </c>
      <c r="B115" s="3" t="s">
        <v>55</v>
      </c>
      <c r="C115" s="3" t="s">
        <v>60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1.05399116779175</v>
      </c>
      <c r="N115" s="6">
        <f t="shared" si="35"/>
        <v>0.21079823355835</v>
      </c>
      <c r="O115" s="7">
        <f t="shared" si="36"/>
        <v>0.275958475522144</v>
      </c>
    </row>
    <row r="116" spans="1:15">
      <c r="A116" s="3" t="s">
        <v>75</v>
      </c>
      <c r="B116" s="3" t="s">
        <v>55</v>
      </c>
      <c r="C116" s="3" t="s">
        <v>61</v>
      </c>
      <c r="D116" s="6">
        <v>0</v>
      </c>
      <c r="E116" s="6">
        <v>0.288733716232131</v>
      </c>
      <c r="F116" s="6">
        <v>0</v>
      </c>
      <c r="G116" s="6">
        <v>0</v>
      </c>
      <c r="H116" s="6">
        <v>0</v>
      </c>
      <c r="I116" s="6">
        <v>1.25186342457045</v>
      </c>
      <c r="J116" s="6">
        <v>0</v>
      </c>
      <c r="K116" s="6">
        <v>0.433269927316875</v>
      </c>
      <c r="L116" s="6">
        <v>0.0545613759103124</v>
      </c>
      <c r="M116" s="6">
        <v>1.52684605454358</v>
      </c>
      <c r="N116" s="6">
        <f t="shared" si="35"/>
        <v>0.653308156468243</v>
      </c>
      <c r="O116" s="7">
        <f t="shared" si="36"/>
        <v>0.725355650446455</v>
      </c>
    </row>
    <row r="117" spans="1:15">
      <c r="A117" s="3" t="s">
        <v>75</v>
      </c>
      <c r="B117" s="3" t="s">
        <v>62</v>
      </c>
      <c r="C117" s="3" t="s">
        <v>63</v>
      </c>
      <c r="D117" s="6">
        <v>0</v>
      </c>
      <c r="E117" s="6">
        <v>0</v>
      </c>
      <c r="F117" s="6">
        <v>0</v>
      </c>
      <c r="G117" s="6">
        <v>1.98949933516626</v>
      </c>
      <c r="H117" s="6">
        <v>0</v>
      </c>
      <c r="I117" s="6">
        <v>0</v>
      </c>
      <c r="J117" s="6">
        <v>0</v>
      </c>
      <c r="K117" s="6">
        <v>4.80518861176022</v>
      </c>
      <c r="L117" s="6">
        <v>2.60748596252081</v>
      </c>
      <c r="M117" s="6">
        <v>4.07765792317517</v>
      </c>
      <c r="N117" s="6">
        <f t="shared" si="35"/>
        <v>2.29806649949124</v>
      </c>
      <c r="O117" s="7">
        <f t="shared" si="36"/>
        <v>1.7216204883809</v>
      </c>
    </row>
    <row r="118" spans="1:15"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9"/>
    </row>
    <row r="119" spans="1:15"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6" t="s">
        <v>52</v>
      </c>
      <c r="O119" s="7" t="s">
        <v>53</v>
      </c>
    </row>
    <row r="120" spans="1:15">
      <c r="A120" s="3" t="s">
        <v>76</v>
      </c>
      <c r="B120" s="3" t="s">
        <v>55</v>
      </c>
      <c r="C120" s="3" t="s">
        <v>56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8.4334285493708</v>
      </c>
      <c r="M120" s="6">
        <v>0</v>
      </c>
      <c r="N120" s="6">
        <f t="shared" ref="N120:N126" si="37">AVERAGE(I120:M120)</f>
        <v>1.68668570987416</v>
      </c>
      <c r="O120" s="7">
        <f t="shared" ref="O120:O126" si="38">LOG(N120+1,2)</f>
        <v>1.4258275638796</v>
      </c>
    </row>
    <row r="121" spans="1:15">
      <c r="A121" s="3" t="s">
        <v>76</v>
      </c>
      <c r="B121" s="3" t="s">
        <v>55</v>
      </c>
      <c r="C121" s="3" t="s">
        <v>57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1.74419064193905</v>
      </c>
      <c r="K121" s="6">
        <v>0</v>
      </c>
      <c r="L121" s="6">
        <v>1.54435202658352</v>
      </c>
      <c r="M121" s="6">
        <v>0</v>
      </c>
      <c r="N121" s="6">
        <f t="shared" si="37"/>
        <v>0.657708533704514</v>
      </c>
      <c r="O121" s="7">
        <f t="shared" si="38"/>
        <v>0.729190367543061</v>
      </c>
    </row>
    <row r="122" spans="1:15">
      <c r="A122" s="3" t="s">
        <v>76</v>
      </c>
      <c r="B122" s="3" t="s">
        <v>55</v>
      </c>
      <c r="C122" s="3" t="s">
        <v>58</v>
      </c>
      <c r="D122" s="6">
        <v>0</v>
      </c>
      <c r="E122" s="6">
        <v>0</v>
      </c>
      <c r="F122" s="6">
        <v>0</v>
      </c>
      <c r="G122" s="6">
        <v>0.235985070136637</v>
      </c>
      <c r="H122" s="6">
        <v>0</v>
      </c>
      <c r="I122" s="6">
        <v>0</v>
      </c>
      <c r="J122" s="6">
        <v>0</v>
      </c>
      <c r="K122" s="6">
        <v>5.22408431791387</v>
      </c>
      <c r="L122" s="6">
        <v>0</v>
      </c>
      <c r="M122" s="6">
        <v>0</v>
      </c>
      <c r="N122" s="6">
        <f t="shared" si="37"/>
        <v>1.04481686358277</v>
      </c>
      <c r="O122" s="7">
        <f t="shared" si="38"/>
        <v>1.03197163933716</v>
      </c>
    </row>
    <row r="123" spans="1:15">
      <c r="A123" s="3" t="s">
        <v>76</v>
      </c>
      <c r="B123" s="3" t="s">
        <v>55</v>
      </c>
      <c r="C123" s="3" t="s">
        <v>59</v>
      </c>
      <c r="D123" s="6">
        <v>0</v>
      </c>
      <c r="E123" s="6">
        <v>0</v>
      </c>
      <c r="F123" s="6">
        <v>0</v>
      </c>
      <c r="G123" s="6">
        <v>1.75049087792829</v>
      </c>
      <c r="H123" s="6">
        <v>0</v>
      </c>
      <c r="I123" s="6">
        <v>0</v>
      </c>
      <c r="J123" s="6">
        <v>0</v>
      </c>
      <c r="K123" s="6">
        <v>0</v>
      </c>
      <c r="L123" s="6">
        <v>0.857496291526876</v>
      </c>
      <c r="M123" s="6">
        <v>0</v>
      </c>
      <c r="N123" s="6">
        <f t="shared" si="37"/>
        <v>0.171499258305375</v>
      </c>
      <c r="O123" s="7">
        <f t="shared" si="38"/>
        <v>0.228356040808393</v>
      </c>
    </row>
    <row r="124" spans="1:15">
      <c r="A124" s="3" t="s">
        <v>76</v>
      </c>
      <c r="B124" s="3" t="s">
        <v>55</v>
      </c>
      <c r="C124" s="3" t="s">
        <v>60</v>
      </c>
      <c r="D124" s="6">
        <v>0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7.03219901673167</v>
      </c>
      <c r="M124" s="6">
        <v>0</v>
      </c>
      <c r="N124" s="6">
        <f t="shared" si="37"/>
        <v>1.40643980334633</v>
      </c>
      <c r="O124" s="7">
        <f t="shared" si="38"/>
        <v>1.2669003350003</v>
      </c>
    </row>
    <row r="125" spans="1:15">
      <c r="A125" s="3" t="s">
        <v>76</v>
      </c>
      <c r="B125" s="3" t="s">
        <v>55</v>
      </c>
      <c r="C125" s="3" t="s">
        <v>61</v>
      </c>
      <c r="D125" s="6">
        <v>0</v>
      </c>
      <c r="E125" s="6">
        <v>0</v>
      </c>
      <c r="F125" s="6">
        <v>0</v>
      </c>
      <c r="G125" s="6">
        <v>0.413870077461849</v>
      </c>
      <c r="H125" s="6">
        <v>0</v>
      </c>
      <c r="I125" s="6">
        <v>0</v>
      </c>
      <c r="J125" s="6">
        <v>0</v>
      </c>
      <c r="K125" s="6">
        <v>0</v>
      </c>
      <c r="L125" s="6">
        <v>4.65939151425527</v>
      </c>
      <c r="M125" s="6">
        <v>0</v>
      </c>
      <c r="N125" s="6">
        <f t="shared" si="37"/>
        <v>0.931878302851054</v>
      </c>
      <c r="O125" s="7">
        <f t="shared" si="38"/>
        <v>0.95000421560062</v>
      </c>
    </row>
    <row r="126" spans="1:15">
      <c r="A126" s="3" t="s">
        <v>76</v>
      </c>
      <c r="B126" s="3" t="s">
        <v>62</v>
      </c>
      <c r="C126" s="3" t="s">
        <v>63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5.9731717921826</v>
      </c>
      <c r="M126" s="6">
        <v>12.3329002034206</v>
      </c>
      <c r="N126" s="6">
        <f t="shared" si="37"/>
        <v>3.66121439912064</v>
      </c>
      <c r="O126" s="7">
        <f t="shared" si="38"/>
        <v>2.22070587319318</v>
      </c>
    </row>
    <row r="127" spans="1:15"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9"/>
    </row>
    <row r="128" spans="1:15"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6" t="s">
        <v>52</v>
      </c>
      <c r="O128" s="7" t="s">
        <v>53</v>
      </c>
    </row>
    <row r="129" spans="1:15">
      <c r="A129" s="3" t="s">
        <v>77</v>
      </c>
      <c r="B129" s="3" t="s">
        <v>55</v>
      </c>
      <c r="C129" s="3" t="s">
        <v>56</v>
      </c>
      <c r="D129" s="6">
        <v>0</v>
      </c>
      <c r="E129" s="6">
        <v>0</v>
      </c>
      <c r="F129" s="6">
        <v>0</v>
      </c>
      <c r="G129" s="6">
        <v>0</v>
      </c>
      <c r="H129" s="6">
        <v>0</v>
      </c>
      <c r="I129" s="6">
        <v>3.13984757160005</v>
      </c>
      <c r="J129" s="6">
        <v>0</v>
      </c>
      <c r="K129" s="6">
        <v>13.4414302032894</v>
      </c>
      <c r="L129" s="6">
        <v>13.8756793227594</v>
      </c>
      <c r="M129" s="6">
        <v>0</v>
      </c>
      <c r="N129" s="6">
        <f t="shared" ref="N129:N135" si="39">AVERAGE(I129:M129)</f>
        <v>6.09139141952977</v>
      </c>
      <c r="O129" s="7">
        <f t="shared" ref="O129:O135" si="40">LOG(N129+1,2)</f>
        <v>2.82606873001834</v>
      </c>
    </row>
    <row r="130" spans="1:15">
      <c r="A130" s="3" t="s">
        <v>77</v>
      </c>
      <c r="B130" s="3" t="s">
        <v>55</v>
      </c>
      <c r="C130" s="3" t="s">
        <v>57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4.00127719000521</v>
      </c>
      <c r="M130" s="6">
        <v>0</v>
      </c>
      <c r="N130" s="6">
        <f t="shared" si="39"/>
        <v>0.800255438001042</v>
      </c>
      <c r="O130" s="7">
        <f t="shared" si="40"/>
        <v>0.848201624883592</v>
      </c>
    </row>
    <row r="131" spans="1:15">
      <c r="A131" s="3" t="s">
        <v>77</v>
      </c>
      <c r="B131" s="3" t="s">
        <v>55</v>
      </c>
      <c r="C131" s="3" t="s">
        <v>58</v>
      </c>
      <c r="D131" s="6">
        <v>0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7.77664361693896</v>
      </c>
      <c r="L131" s="6">
        <v>0.0666880967020237</v>
      </c>
      <c r="M131" s="6">
        <v>5.251169381756</v>
      </c>
      <c r="N131" s="6">
        <f t="shared" si="39"/>
        <v>2.6189002190794</v>
      </c>
      <c r="O131" s="7">
        <f t="shared" si="40"/>
        <v>1.85555133003047</v>
      </c>
    </row>
    <row r="132" spans="1:15">
      <c r="A132" s="3" t="s">
        <v>77</v>
      </c>
      <c r="B132" s="3" t="s">
        <v>55</v>
      </c>
      <c r="C132" s="3" t="s">
        <v>59</v>
      </c>
      <c r="D132" s="6">
        <v>0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5.22716530245818</v>
      </c>
      <c r="L132" s="6">
        <v>0.45551771000718</v>
      </c>
      <c r="M132" s="6">
        <v>0</v>
      </c>
      <c r="N132" s="6">
        <f t="shared" si="39"/>
        <v>1.13653660249307</v>
      </c>
      <c r="O132" s="7">
        <f t="shared" si="40"/>
        <v>1.09527403304192</v>
      </c>
    </row>
    <row r="133" spans="1:15">
      <c r="A133" s="3" t="s">
        <v>77</v>
      </c>
      <c r="B133" s="3" t="s">
        <v>55</v>
      </c>
      <c r="C133" s="3" t="s">
        <v>60</v>
      </c>
      <c r="D133" s="6">
        <v>0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1.4671329169921</v>
      </c>
      <c r="M133" s="6">
        <v>0</v>
      </c>
      <c r="N133" s="6">
        <f t="shared" si="39"/>
        <v>0.29342658339842</v>
      </c>
      <c r="O133" s="7">
        <f t="shared" si="40"/>
        <v>0.371198167070217</v>
      </c>
    </row>
    <row r="134" spans="1:15">
      <c r="A134" s="3" t="s">
        <v>77</v>
      </c>
      <c r="B134" s="3" t="s">
        <v>55</v>
      </c>
      <c r="C134" s="3" t="s">
        <v>61</v>
      </c>
      <c r="D134" s="6">
        <v>0</v>
      </c>
      <c r="E134" s="6">
        <v>0</v>
      </c>
      <c r="F134" s="6">
        <v>0</v>
      </c>
      <c r="G134" s="6">
        <v>1.90775795168016</v>
      </c>
      <c r="H134" s="6">
        <v>0</v>
      </c>
      <c r="I134" s="6">
        <v>6.72824043671211</v>
      </c>
      <c r="J134" s="6">
        <v>0</v>
      </c>
      <c r="K134" s="6">
        <v>0.467119527655457</v>
      </c>
      <c r="L134" s="6">
        <v>0.533503036088351</v>
      </c>
      <c r="M134" s="6">
        <v>1.06384761247308</v>
      </c>
      <c r="N134" s="6">
        <f t="shared" si="39"/>
        <v>1.7585421225858</v>
      </c>
      <c r="O134" s="7">
        <f t="shared" si="40"/>
        <v>1.46390601040817</v>
      </c>
    </row>
    <row r="135" spans="1:15">
      <c r="A135" s="3" t="s">
        <v>77</v>
      </c>
      <c r="B135" s="3" t="s">
        <v>62</v>
      </c>
      <c r="C135" s="3" t="s">
        <v>63</v>
      </c>
      <c r="D135" s="6">
        <v>0</v>
      </c>
      <c r="E135" s="6">
        <v>0</v>
      </c>
      <c r="F135" s="6">
        <v>0</v>
      </c>
      <c r="G135" s="6">
        <v>3.18836685698648</v>
      </c>
      <c r="H135" s="6">
        <v>0</v>
      </c>
      <c r="I135" s="6">
        <v>0</v>
      </c>
      <c r="J135" s="6">
        <v>0</v>
      </c>
      <c r="K135" s="6">
        <v>0</v>
      </c>
      <c r="L135" s="6">
        <v>0.631614349957419</v>
      </c>
      <c r="M135" s="6">
        <v>2.82755495586664</v>
      </c>
      <c r="N135" s="6">
        <f t="shared" si="39"/>
        <v>0.691833861164812</v>
      </c>
      <c r="O135" s="7">
        <f t="shared" si="40"/>
        <v>0.758587902121008</v>
      </c>
    </row>
    <row r="136" spans="1:15"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9"/>
    </row>
    <row r="137" spans="1:15"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6" t="s">
        <v>52</v>
      </c>
      <c r="O137" s="7" t="s">
        <v>53</v>
      </c>
    </row>
    <row r="138" spans="1:15">
      <c r="A138" s="3" t="s">
        <v>78</v>
      </c>
      <c r="B138" s="3" t="s">
        <v>55</v>
      </c>
      <c r="C138" s="3" t="s">
        <v>56</v>
      </c>
      <c r="D138" s="6">
        <v>0</v>
      </c>
      <c r="E138" s="6">
        <v>5.64350731898456</v>
      </c>
      <c r="F138" s="6">
        <v>0</v>
      </c>
      <c r="G138" s="6">
        <v>7.04789378309717</v>
      </c>
      <c r="H138" s="6">
        <v>0</v>
      </c>
      <c r="I138" s="6">
        <v>0</v>
      </c>
      <c r="J138" s="6">
        <v>154.386971483417</v>
      </c>
      <c r="K138" s="6">
        <v>16.6640572578911</v>
      </c>
      <c r="L138" s="6">
        <v>6.94578424085052</v>
      </c>
      <c r="M138" s="6">
        <v>46.722319912842</v>
      </c>
      <c r="N138" s="6">
        <f t="shared" ref="N138:N140" si="41">AVERAGE(I138:M138)</f>
        <v>44.9438265790001</v>
      </c>
      <c r="O138" s="7">
        <f t="shared" ref="O138:O140" si="42">LOG(N138+1,2)</f>
        <v>5.52179911609255</v>
      </c>
    </row>
    <row r="139" spans="1:15">
      <c r="A139" s="3" t="s">
        <v>78</v>
      </c>
      <c r="B139" s="3" t="s">
        <v>55</v>
      </c>
      <c r="C139" s="3" t="s">
        <v>57</v>
      </c>
      <c r="D139" s="6">
        <v>0</v>
      </c>
      <c r="E139" s="6">
        <v>0</v>
      </c>
      <c r="F139" s="6">
        <v>70.0912139612697</v>
      </c>
      <c r="G139" s="6">
        <v>3.07429720723553</v>
      </c>
      <c r="H139" s="6">
        <v>0</v>
      </c>
      <c r="I139" s="6">
        <v>11.7398352439312</v>
      </c>
      <c r="J139" s="6">
        <v>32.4269002360578</v>
      </c>
      <c r="K139" s="6">
        <v>5.12102384436465</v>
      </c>
      <c r="L139" s="6">
        <v>21.6789913504423</v>
      </c>
      <c r="M139" s="6">
        <v>0.42077529318927</v>
      </c>
      <c r="N139" s="6">
        <f t="shared" si="41"/>
        <v>14.277505193597</v>
      </c>
      <c r="O139" s="7">
        <f t="shared" si="42"/>
        <v>3.93333706635745</v>
      </c>
    </row>
    <row r="140" spans="1:15">
      <c r="A140" s="3" t="s">
        <v>78</v>
      </c>
      <c r="B140" s="3" t="s">
        <v>55</v>
      </c>
      <c r="C140" s="3" t="s">
        <v>58</v>
      </c>
      <c r="D140" s="6">
        <v>0</v>
      </c>
      <c r="E140" s="6">
        <v>8.6394344203404</v>
      </c>
      <c r="F140" s="6">
        <v>0</v>
      </c>
      <c r="G140" s="6">
        <v>7.53283182308001</v>
      </c>
      <c r="H140" s="6">
        <v>0</v>
      </c>
      <c r="I140" s="6">
        <v>0</v>
      </c>
      <c r="J140" s="6">
        <v>0</v>
      </c>
      <c r="K140" s="6">
        <v>7.18841791874272</v>
      </c>
      <c r="L140" s="6">
        <v>16.9753841656066</v>
      </c>
      <c r="M140" s="6">
        <v>9.14714307494411</v>
      </c>
      <c r="N140" s="6">
        <f t="shared" si="41"/>
        <v>6.66218903185869</v>
      </c>
      <c r="O140" s="7">
        <f t="shared" si="42"/>
        <v>2.93775661855232</v>
      </c>
    </row>
    <row r="141" spans="1:15">
      <c r="A141" s="3" t="s">
        <v>78</v>
      </c>
      <c r="B141" s="3" t="s">
        <v>55</v>
      </c>
      <c r="C141" s="3" t="s">
        <v>59</v>
      </c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7"/>
    </row>
    <row r="142" spans="1:15">
      <c r="A142" s="3" t="s">
        <v>78</v>
      </c>
      <c r="B142" s="3" t="s">
        <v>55</v>
      </c>
      <c r="C142" s="3" t="s">
        <v>60</v>
      </c>
      <c r="D142" s="6">
        <v>0</v>
      </c>
      <c r="E142" s="6">
        <v>2.88679557887504</v>
      </c>
      <c r="F142" s="6">
        <v>0</v>
      </c>
      <c r="G142" s="6">
        <v>16.0915450024051</v>
      </c>
      <c r="H142" s="6">
        <v>0</v>
      </c>
      <c r="I142" s="6">
        <v>15.5145301066056</v>
      </c>
      <c r="J142" s="6">
        <v>0</v>
      </c>
      <c r="K142" s="6">
        <v>9.90090910542169</v>
      </c>
      <c r="L142" s="6">
        <v>2.54858830981056</v>
      </c>
      <c r="M142" s="6">
        <v>4.77405159148835</v>
      </c>
      <c r="N142" s="6">
        <f t="shared" ref="N142:N144" si="43">AVERAGE(I142:M142)</f>
        <v>6.54761582266524</v>
      </c>
      <c r="O142" s="7">
        <f t="shared" ref="O142:O144" si="44">LOG(N142+1,2)</f>
        <v>2.91602099092441</v>
      </c>
    </row>
    <row r="143" spans="1:15">
      <c r="A143" s="3" t="s">
        <v>78</v>
      </c>
      <c r="B143" s="3" t="s">
        <v>55</v>
      </c>
      <c r="C143" s="3" t="s">
        <v>61</v>
      </c>
      <c r="D143" s="6">
        <v>0</v>
      </c>
      <c r="E143" s="6">
        <v>7.93868394032925</v>
      </c>
      <c r="F143" s="6">
        <v>0</v>
      </c>
      <c r="G143" s="6">
        <v>4.12798805473743</v>
      </c>
      <c r="H143" s="6">
        <v>0</v>
      </c>
      <c r="I143" s="6">
        <v>1.15488586525751</v>
      </c>
      <c r="J143" s="6">
        <v>0</v>
      </c>
      <c r="K143" s="6">
        <v>11.670617868665</v>
      </c>
      <c r="L143" s="6">
        <v>4.0244337870991</v>
      </c>
      <c r="M143" s="6">
        <v>7.32103410962564</v>
      </c>
      <c r="N143" s="6">
        <f t="shared" si="43"/>
        <v>4.83419432612945</v>
      </c>
      <c r="O143" s="7">
        <f t="shared" si="44"/>
        <v>2.54453344051689</v>
      </c>
    </row>
    <row r="144" spans="1:15">
      <c r="A144" s="3" t="s">
        <v>78</v>
      </c>
      <c r="B144" s="3" t="s">
        <v>62</v>
      </c>
      <c r="C144" s="3" t="s">
        <v>63</v>
      </c>
      <c r="D144" s="6">
        <v>0</v>
      </c>
      <c r="E144" s="6">
        <v>0</v>
      </c>
      <c r="F144" s="6">
        <v>0</v>
      </c>
      <c r="G144" s="6">
        <v>21.3032095796316</v>
      </c>
      <c r="H144" s="6">
        <v>0</v>
      </c>
      <c r="I144" s="6">
        <v>7.72885029996251</v>
      </c>
      <c r="J144" s="6">
        <v>0</v>
      </c>
      <c r="K144" s="6">
        <v>0</v>
      </c>
      <c r="L144" s="6">
        <v>23.2368048908445</v>
      </c>
      <c r="M144" s="6">
        <v>117.430397266912</v>
      </c>
      <c r="N144" s="6">
        <f t="shared" si="43"/>
        <v>29.6792104915438</v>
      </c>
      <c r="O144" s="7">
        <f t="shared" si="44"/>
        <v>4.93918945143778</v>
      </c>
    </row>
    <row r="145" spans="1:15"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9"/>
    </row>
    <row r="146" spans="1:15"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6" t="s">
        <v>52</v>
      </c>
      <c r="O146" s="7" t="s">
        <v>53</v>
      </c>
    </row>
    <row r="147" spans="1:15">
      <c r="A147" s="3" t="s">
        <v>79</v>
      </c>
      <c r="B147" s="3" t="s">
        <v>55</v>
      </c>
      <c r="C147" s="3" t="s">
        <v>56</v>
      </c>
      <c r="D147" s="6">
        <v>0</v>
      </c>
      <c r="E147" s="6">
        <v>1.47266930274003</v>
      </c>
      <c r="F147" s="6">
        <v>1.8128429377934</v>
      </c>
      <c r="G147" s="6">
        <v>6.30581167990572</v>
      </c>
      <c r="H147" s="6">
        <v>3.23179985771876</v>
      </c>
      <c r="I147" s="6">
        <v>0</v>
      </c>
      <c r="J147" s="6">
        <v>0</v>
      </c>
      <c r="K147" s="6">
        <v>0.927419115590327</v>
      </c>
      <c r="L147" s="6">
        <v>12.3373659321586</v>
      </c>
      <c r="M147" s="6">
        <v>19.7284797060198</v>
      </c>
      <c r="N147" s="6">
        <f t="shared" ref="N147:N153" si="45">AVERAGE(I147:M147)</f>
        <v>6.59865295075375</v>
      </c>
      <c r="O147" s="7">
        <f t="shared" ref="O147:O153" si="46">LOG(N147+1,2)</f>
        <v>2.92574368783077</v>
      </c>
    </row>
    <row r="148" spans="1:15">
      <c r="A148" s="3" t="s">
        <v>79</v>
      </c>
      <c r="B148" s="3" t="s">
        <v>55</v>
      </c>
      <c r="C148" s="3" t="s">
        <v>57</v>
      </c>
      <c r="D148" s="6">
        <v>0</v>
      </c>
      <c r="E148" s="6">
        <v>0.418231252161127</v>
      </c>
      <c r="F148" s="6">
        <v>0</v>
      </c>
      <c r="G148" s="6">
        <v>0</v>
      </c>
      <c r="H148" s="6">
        <v>0</v>
      </c>
      <c r="I148" s="6">
        <v>0</v>
      </c>
      <c r="J148" s="6">
        <v>11.4203123288338</v>
      </c>
      <c r="K148" s="6">
        <v>0</v>
      </c>
      <c r="L148" s="6">
        <v>14.1560922868729</v>
      </c>
      <c r="M148" s="6">
        <v>0</v>
      </c>
      <c r="N148" s="6">
        <f t="shared" si="45"/>
        <v>5.11528092314134</v>
      </c>
      <c r="O148" s="7">
        <f t="shared" si="46"/>
        <v>2.61241877465025</v>
      </c>
    </row>
    <row r="149" spans="1:15">
      <c r="A149" s="3" t="s">
        <v>79</v>
      </c>
      <c r="B149" s="3" t="s">
        <v>55</v>
      </c>
      <c r="C149" s="3" t="s">
        <v>58</v>
      </c>
      <c r="D149" s="6">
        <v>0</v>
      </c>
      <c r="E149" s="6">
        <v>12.3843307773678</v>
      </c>
      <c r="F149" s="6">
        <v>2.69721686714999</v>
      </c>
      <c r="G149" s="6">
        <v>1.38673418458714</v>
      </c>
      <c r="H149" s="6">
        <v>0</v>
      </c>
      <c r="I149" s="6">
        <v>0</v>
      </c>
      <c r="J149" s="6">
        <v>0</v>
      </c>
      <c r="K149" s="6">
        <v>15.3802879001683</v>
      </c>
      <c r="L149" s="6">
        <v>4.19181563685352</v>
      </c>
      <c r="M149" s="6">
        <v>0</v>
      </c>
      <c r="N149" s="6">
        <f t="shared" si="45"/>
        <v>3.91442070740436</v>
      </c>
      <c r="O149" s="7">
        <f t="shared" si="46"/>
        <v>2.29702136736748</v>
      </c>
    </row>
    <row r="150" spans="1:15">
      <c r="A150" s="3" t="s">
        <v>79</v>
      </c>
      <c r="B150" s="3" t="s">
        <v>55</v>
      </c>
      <c r="C150" s="3" t="s">
        <v>59</v>
      </c>
      <c r="D150" s="6">
        <v>0</v>
      </c>
      <c r="E150" s="6">
        <v>2.7859302624807</v>
      </c>
      <c r="F150" s="6">
        <v>0</v>
      </c>
      <c r="G150" s="6">
        <v>6.37419915520427</v>
      </c>
      <c r="H150" s="6">
        <v>3.12351955255531</v>
      </c>
      <c r="I150" s="6">
        <v>0</v>
      </c>
      <c r="J150" s="6">
        <v>0</v>
      </c>
      <c r="K150" s="6">
        <v>2.82215972472127</v>
      </c>
      <c r="L150" s="6">
        <v>3.47449934359534</v>
      </c>
      <c r="M150" s="6">
        <v>3.99355594499664</v>
      </c>
      <c r="N150" s="6">
        <f t="shared" si="45"/>
        <v>2.05804300266265</v>
      </c>
      <c r="O150" s="7">
        <f t="shared" si="46"/>
        <v>1.61260869423696</v>
      </c>
    </row>
    <row r="151" spans="1:15">
      <c r="A151" s="3" t="s">
        <v>79</v>
      </c>
      <c r="B151" s="3" t="s">
        <v>55</v>
      </c>
      <c r="C151" s="3" t="s">
        <v>60</v>
      </c>
      <c r="D151" s="6">
        <v>0</v>
      </c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  <c r="M151" s="6">
        <v>0</v>
      </c>
      <c r="N151" s="6">
        <f t="shared" si="45"/>
        <v>0</v>
      </c>
      <c r="O151" s="7">
        <f t="shared" si="46"/>
        <v>0</v>
      </c>
    </row>
    <row r="152" spans="1:15">
      <c r="A152" s="3" t="s">
        <v>79</v>
      </c>
      <c r="B152" s="3" t="s">
        <v>55</v>
      </c>
      <c r="C152" s="3" t="s">
        <v>61</v>
      </c>
      <c r="D152" s="6">
        <v>0</v>
      </c>
      <c r="E152" s="6">
        <v>0</v>
      </c>
      <c r="F152" s="6">
        <v>0.742738988931216</v>
      </c>
      <c r="G152" s="6">
        <v>6.0145</v>
      </c>
      <c r="H152" s="6">
        <v>0</v>
      </c>
      <c r="I152" s="6">
        <v>1.41410064069813</v>
      </c>
      <c r="J152" s="6">
        <v>0</v>
      </c>
      <c r="K152" s="6">
        <v>0.586192701016107</v>
      </c>
      <c r="L152" s="6">
        <v>8.97306350086113</v>
      </c>
      <c r="M152" s="6">
        <v>0</v>
      </c>
      <c r="N152" s="6">
        <f t="shared" si="45"/>
        <v>2.19467136851507</v>
      </c>
      <c r="O152" s="7">
        <f t="shared" si="46"/>
        <v>1.67566753073454</v>
      </c>
    </row>
    <row r="153" spans="1:15">
      <c r="A153" s="3" t="s">
        <v>79</v>
      </c>
      <c r="B153" s="3" t="s">
        <v>62</v>
      </c>
      <c r="C153" s="3" t="s">
        <v>63</v>
      </c>
      <c r="D153" s="6">
        <v>0</v>
      </c>
      <c r="E153" s="6">
        <v>0.693097694793086</v>
      </c>
      <c r="F153" s="6">
        <v>0.674262912879628</v>
      </c>
      <c r="G153" s="6">
        <v>18.835072125733</v>
      </c>
      <c r="H153" s="6">
        <v>0</v>
      </c>
      <c r="I153" s="6">
        <v>15.8042237219521</v>
      </c>
      <c r="J153" s="6">
        <v>50.8090073153932</v>
      </c>
      <c r="K153" s="6">
        <v>2.36225468164794</v>
      </c>
      <c r="L153" s="6">
        <v>28.6132086314396</v>
      </c>
      <c r="M153" s="6">
        <v>90.3411701105915</v>
      </c>
      <c r="N153" s="6">
        <f t="shared" si="45"/>
        <v>37.5859728922049</v>
      </c>
      <c r="O153" s="7">
        <f t="shared" si="46"/>
        <v>5.27000457666196</v>
      </c>
    </row>
    <row r="154" spans="1:15"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9"/>
    </row>
    <row r="155" spans="1:15"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6" t="s">
        <v>52</v>
      </c>
      <c r="O155" s="7" t="s">
        <v>53</v>
      </c>
    </row>
    <row r="156" spans="1:15">
      <c r="A156" s="3" t="s">
        <v>80</v>
      </c>
      <c r="B156" s="3" t="s">
        <v>55</v>
      </c>
      <c r="C156" s="3" t="s">
        <v>56</v>
      </c>
      <c r="D156" s="6">
        <v>0</v>
      </c>
      <c r="E156" s="6">
        <v>0</v>
      </c>
      <c r="F156" s="6">
        <v>0</v>
      </c>
      <c r="G156" s="6">
        <v>2.0713212471086</v>
      </c>
      <c r="H156" s="6">
        <v>0</v>
      </c>
      <c r="I156" s="6">
        <v>0</v>
      </c>
      <c r="J156" s="6">
        <v>0</v>
      </c>
      <c r="K156" s="6">
        <v>0</v>
      </c>
      <c r="L156" s="6">
        <v>4.52580744574435</v>
      </c>
      <c r="M156" s="6">
        <v>0</v>
      </c>
      <c r="N156" s="6">
        <f t="shared" ref="N156:N162" si="47">AVERAGE(I156:M156)</f>
        <v>0.90516148914887</v>
      </c>
      <c r="O156" s="7">
        <f t="shared" ref="O156:O162" si="48">LOG(N156+1,2)</f>
        <v>0.92991329153477</v>
      </c>
    </row>
    <row r="157" spans="1:15">
      <c r="A157" s="3" t="s">
        <v>80</v>
      </c>
      <c r="B157" s="3" t="s">
        <v>55</v>
      </c>
      <c r="C157" s="3" t="s">
        <v>57</v>
      </c>
      <c r="D157" s="6">
        <v>0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1.43792123310962</v>
      </c>
      <c r="K157" s="6">
        <v>6.67181426327924</v>
      </c>
      <c r="L157" s="6">
        <v>2.76144332050249</v>
      </c>
      <c r="M157" s="6">
        <v>0.304247207509183</v>
      </c>
      <c r="N157" s="6">
        <f t="shared" si="47"/>
        <v>2.23508520488011</v>
      </c>
      <c r="O157" s="7">
        <f t="shared" si="48"/>
        <v>1.69380371006607</v>
      </c>
    </row>
    <row r="158" spans="1:15">
      <c r="A158" s="3" t="s">
        <v>80</v>
      </c>
      <c r="B158" s="3" t="s">
        <v>55</v>
      </c>
      <c r="C158" s="3" t="s">
        <v>58</v>
      </c>
      <c r="D158" s="6">
        <v>0</v>
      </c>
      <c r="E158" s="6">
        <v>0</v>
      </c>
      <c r="F158" s="6">
        <v>0</v>
      </c>
      <c r="G158" s="6">
        <v>0.21606692916149</v>
      </c>
      <c r="H158" s="6">
        <v>0</v>
      </c>
      <c r="I158" s="6">
        <v>0</v>
      </c>
      <c r="J158" s="6">
        <v>0</v>
      </c>
      <c r="K158" s="6">
        <v>0</v>
      </c>
      <c r="L158" s="6">
        <v>5.18971921302413</v>
      </c>
      <c r="M158" s="6">
        <v>0</v>
      </c>
      <c r="N158" s="6">
        <f t="shared" si="47"/>
        <v>1.03794384260483</v>
      </c>
      <c r="O158" s="7">
        <f t="shared" si="48"/>
        <v>1.02711429727812</v>
      </c>
    </row>
    <row r="159" spans="1:15">
      <c r="A159" s="3" t="s">
        <v>80</v>
      </c>
      <c r="B159" s="3" t="s">
        <v>55</v>
      </c>
      <c r="C159" s="3" t="s">
        <v>59</v>
      </c>
      <c r="D159" s="6">
        <v>0</v>
      </c>
      <c r="E159" s="6">
        <v>0</v>
      </c>
      <c r="F159" s="6">
        <v>0</v>
      </c>
      <c r="G159" s="6">
        <v>2.0067106875603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f t="shared" si="47"/>
        <v>0</v>
      </c>
      <c r="O159" s="7">
        <f t="shared" si="48"/>
        <v>0</v>
      </c>
    </row>
    <row r="160" spans="1:15">
      <c r="A160" s="3" t="s">
        <v>80</v>
      </c>
      <c r="B160" s="3" t="s">
        <v>55</v>
      </c>
      <c r="C160" s="3" t="s">
        <v>60</v>
      </c>
      <c r="D160" s="6">
        <v>0</v>
      </c>
      <c r="E160" s="6">
        <v>3.58407148130897</v>
      </c>
      <c r="F160" s="6">
        <v>4.67869307802892</v>
      </c>
      <c r="G160" s="6">
        <v>10.6987390974496</v>
      </c>
      <c r="H160" s="6">
        <v>0</v>
      </c>
      <c r="I160" s="6">
        <v>1.14176205578717</v>
      </c>
      <c r="J160" s="6">
        <v>2.87791645953971</v>
      </c>
      <c r="K160" s="6">
        <v>0</v>
      </c>
      <c r="L160" s="6">
        <v>1.36504459660005</v>
      </c>
      <c r="M160" s="6">
        <v>4.99634420465646</v>
      </c>
      <c r="N160" s="6">
        <f t="shared" si="47"/>
        <v>2.07621346331668</v>
      </c>
      <c r="O160" s="7">
        <f t="shared" si="48"/>
        <v>1.62115561766357</v>
      </c>
    </row>
    <row r="161" spans="1:15">
      <c r="A161" s="3" t="s">
        <v>80</v>
      </c>
      <c r="B161" s="3" t="s">
        <v>55</v>
      </c>
      <c r="C161" s="3" t="s">
        <v>61</v>
      </c>
      <c r="D161" s="6">
        <v>0</v>
      </c>
      <c r="E161" s="6">
        <v>0</v>
      </c>
      <c r="F161" s="6">
        <v>0</v>
      </c>
      <c r="G161" s="6">
        <v>5.60312975547043</v>
      </c>
      <c r="H161" s="6">
        <v>0</v>
      </c>
      <c r="I161" s="6">
        <v>0</v>
      </c>
      <c r="J161" s="6">
        <v>0</v>
      </c>
      <c r="K161" s="6">
        <v>2.51807187581225</v>
      </c>
      <c r="L161" s="6">
        <v>0.350043739969202</v>
      </c>
      <c r="M161" s="6">
        <v>0</v>
      </c>
      <c r="N161" s="6">
        <f t="shared" si="47"/>
        <v>0.57362312315629</v>
      </c>
      <c r="O161" s="7">
        <f t="shared" si="48"/>
        <v>0.654090062155753</v>
      </c>
    </row>
    <row r="162" spans="1:15">
      <c r="A162" s="3" t="s">
        <v>80</v>
      </c>
      <c r="B162" s="3" t="s">
        <v>62</v>
      </c>
      <c r="C162" s="3" t="s">
        <v>63</v>
      </c>
      <c r="D162" s="6">
        <v>0</v>
      </c>
      <c r="E162" s="6">
        <v>2.94357858166834</v>
      </c>
      <c r="F162" s="6">
        <v>0</v>
      </c>
      <c r="G162" s="6">
        <v>21.7658782215853</v>
      </c>
      <c r="H162" s="6">
        <v>0</v>
      </c>
      <c r="I162" s="6">
        <v>0</v>
      </c>
      <c r="J162" s="6">
        <v>28.24820777393</v>
      </c>
      <c r="K162" s="6">
        <v>0</v>
      </c>
      <c r="L162" s="6">
        <v>6.46214186152052</v>
      </c>
      <c r="M162" s="6">
        <v>68.3177384767882</v>
      </c>
      <c r="N162" s="6">
        <f t="shared" si="47"/>
        <v>20.6056176224477</v>
      </c>
      <c r="O162" s="7">
        <f t="shared" si="48"/>
        <v>4.43333456756954</v>
      </c>
    </row>
    <row r="163" spans="1:15"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9"/>
    </row>
    <row r="164" spans="1:15"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6" t="s">
        <v>52</v>
      </c>
      <c r="O164" s="7" t="s">
        <v>53</v>
      </c>
    </row>
    <row r="165" spans="1:15">
      <c r="A165" s="3" t="s">
        <v>81</v>
      </c>
      <c r="B165" s="3" t="s">
        <v>55</v>
      </c>
      <c r="C165" s="3" t="s">
        <v>56</v>
      </c>
      <c r="D165" s="6">
        <v>0</v>
      </c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f t="shared" ref="N165:N167" si="49">AVERAGE(I165:M165)</f>
        <v>0</v>
      </c>
      <c r="O165" s="7">
        <f t="shared" ref="O165:O167" si="50">LOG(N165+1,2)</f>
        <v>0</v>
      </c>
    </row>
    <row r="166" spans="1:15">
      <c r="A166" s="3" t="s">
        <v>81</v>
      </c>
      <c r="B166" s="3" t="s">
        <v>55</v>
      </c>
      <c r="C166" s="3" t="s">
        <v>57</v>
      </c>
      <c r="D166" s="6">
        <v>0</v>
      </c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4.3794377498545</v>
      </c>
      <c r="K166" s="6">
        <v>0</v>
      </c>
      <c r="L166" s="6">
        <v>0</v>
      </c>
      <c r="M166" s="6">
        <v>0</v>
      </c>
      <c r="N166" s="6">
        <f t="shared" si="49"/>
        <v>0.8758875499709</v>
      </c>
      <c r="O166" s="7">
        <f t="shared" si="50"/>
        <v>0.907573348129567</v>
      </c>
    </row>
    <row r="167" spans="1:15">
      <c r="A167" s="3" t="s">
        <v>81</v>
      </c>
      <c r="B167" s="3" t="s">
        <v>55</v>
      </c>
      <c r="C167" s="3" t="s">
        <v>58</v>
      </c>
      <c r="D167" s="6">
        <v>0</v>
      </c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f t="shared" si="49"/>
        <v>0</v>
      </c>
      <c r="O167" s="7">
        <f t="shared" si="50"/>
        <v>0</v>
      </c>
    </row>
    <row r="168" spans="1:15">
      <c r="A168" s="3" t="s">
        <v>81</v>
      </c>
      <c r="B168" s="3" t="s">
        <v>55</v>
      </c>
      <c r="C168" s="3" t="s">
        <v>59</v>
      </c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7"/>
    </row>
    <row r="169" spans="1:15">
      <c r="A169" s="3" t="s">
        <v>81</v>
      </c>
      <c r="B169" s="3" t="s">
        <v>55</v>
      </c>
      <c r="C169" s="3" t="s">
        <v>60</v>
      </c>
      <c r="D169" s="6">
        <v>0</v>
      </c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f t="shared" ref="N169:N171" si="51">AVERAGE(I169:M169)</f>
        <v>0</v>
      </c>
      <c r="O169" s="7">
        <f t="shared" ref="O169:O171" si="52">LOG(N169+1,2)</f>
        <v>0</v>
      </c>
    </row>
    <row r="170" spans="1:15">
      <c r="A170" s="3" t="s">
        <v>81</v>
      </c>
      <c r="B170" s="3" t="s">
        <v>55</v>
      </c>
      <c r="C170" s="3" t="s">
        <v>61</v>
      </c>
      <c r="D170" s="6">
        <v>0</v>
      </c>
      <c r="E170" s="6">
        <v>0</v>
      </c>
      <c r="F170" s="6">
        <v>2.42271847017985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1.30052372303388</v>
      </c>
      <c r="N170" s="6">
        <f t="shared" si="51"/>
        <v>0.260104744606776</v>
      </c>
      <c r="O170" s="7">
        <f t="shared" si="52"/>
        <v>0.333543660902954</v>
      </c>
    </row>
    <row r="171" spans="1:15">
      <c r="A171" s="3" t="s">
        <v>81</v>
      </c>
      <c r="B171" s="3" t="s">
        <v>62</v>
      </c>
      <c r="C171" s="3" t="s">
        <v>63</v>
      </c>
      <c r="D171" s="6">
        <v>0</v>
      </c>
      <c r="E171" s="6">
        <v>0</v>
      </c>
      <c r="F171" s="6">
        <v>0</v>
      </c>
      <c r="G171" s="6">
        <v>0</v>
      </c>
      <c r="H171" s="6">
        <v>2.18627857351203</v>
      </c>
      <c r="I171" s="6">
        <v>0</v>
      </c>
      <c r="J171" s="6">
        <v>0</v>
      </c>
      <c r="K171" s="6">
        <v>0</v>
      </c>
      <c r="L171" s="6">
        <v>1.30734809304613</v>
      </c>
      <c r="M171" s="6">
        <v>0</v>
      </c>
      <c r="N171" s="6">
        <f t="shared" si="51"/>
        <v>0.261469618609226</v>
      </c>
      <c r="O171" s="7">
        <f t="shared" si="52"/>
        <v>0.335105460686296</v>
      </c>
    </row>
    <row r="172" spans="1:15"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9"/>
    </row>
    <row r="173" spans="1:15"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6" t="s">
        <v>52</v>
      </c>
      <c r="O173" s="7" t="s">
        <v>53</v>
      </c>
    </row>
    <row r="174" spans="1:15">
      <c r="A174" s="3" t="s">
        <v>82</v>
      </c>
      <c r="B174" s="3" t="s">
        <v>55</v>
      </c>
      <c r="C174" s="3" t="s">
        <v>56</v>
      </c>
      <c r="D174" s="6">
        <v>0</v>
      </c>
      <c r="E174" s="6">
        <v>0</v>
      </c>
      <c r="F174" s="6">
        <v>0</v>
      </c>
      <c r="G174" s="6">
        <v>8.63471820248337</v>
      </c>
      <c r="H174" s="6">
        <v>0</v>
      </c>
      <c r="I174" s="6">
        <v>0</v>
      </c>
      <c r="J174" s="6">
        <v>0</v>
      </c>
      <c r="K174" s="6">
        <v>5.57694479836183</v>
      </c>
      <c r="L174" s="6">
        <v>14.7547033354869</v>
      </c>
      <c r="M174" s="6">
        <v>0</v>
      </c>
      <c r="N174" s="6">
        <f t="shared" ref="N174:N180" si="53">AVERAGE(I174:M174)</f>
        <v>4.06632962676975</v>
      </c>
      <c r="O174" s="7">
        <f t="shared" ref="O174:O180" si="54">LOG(N174+1,2)</f>
        <v>2.34094094507953</v>
      </c>
    </row>
    <row r="175" spans="1:15">
      <c r="A175" s="3" t="s">
        <v>82</v>
      </c>
      <c r="B175" s="3" t="s">
        <v>55</v>
      </c>
      <c r="C175" s="3" t="s">
        <v>57</v>
      </c>
      <c r="D175" s="6">
        <v>0</v>
      </c>
      <c r="E175" s="6">
        <v>9.58827448156408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6.48824098897825</v>
      </c>
      <c r="M175" s="6">
        <v>0</v>
      </c>
      <c r="N175" s="6">
        <f t="shared" si="53"/>
        <v>1.29764819779565</v>
      </c>
      <c r="O175" s="7">
        <f t="shared" si="54"/>
        <v>1.20015791802336</v>
      </c>
    </row>
    <row r="176" spans="1:15">
      <c r="A176" s="3" t="s">
        <v>82</v>
      </c>
      <c r="B176" s="3" t="s">
        <v>55</v>
      </c>
      <c r="C176" s="3" t="s">
        <v>58</v>
      </c>
      <c r="D176" s="6">
        <v>0</v>
      </c>
      <c r="E176" s="6">
        <v>0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>
        <v>7.78031798955501</v>
      </c>
      <c r="L176" s="6">
        <v>0</v>
      </c>
      <c r="M176" s="6">
        <v>0</v>
      </c>
      <c r="N176" s="6">
        <f t="shared" si="53"/>
        <v>1.556063597911</v>
      </c>
      <c r="O176" s="7">
        <f t="shared" si="54"/>
        <v>1.35392373270484</v>
      </c>
    </row>
    <row r="177" spans="1:15">
      <c r="A177" s="3" t="s">
        <v>82</v>
      </c>
      <c r="B177" s="3" t="s">
        <v>55</v>
      </c>
      <c r="C177" s="3" t="s">
        <v>59</v>
      </c>
      <c r="D177" s="6">
        <v>0</v>
      </c>
      <c r="E177" s="6">
        <v>0</v>
      </c>
      <c r="F177" s="6">
        <v>0</v>
      </c>
      <c r="G177" s="6">
        <v>7.41702552947574</v>
      </c>
      <c r="H177" s="6">
        <v>0</v>
      </c>
      <c r="I177" s="6">
        <v>0</v>
      </c>
      <c r="J177" s="6">
        <v>0</v>
      </c>
      <c r="K177" s="6">
        <v>0</v>
      </c>
      <c r="L177" s="6">
        <v>7.68566849481498</v>
      </c>
      <c r="M177" s="6">
        <v>5.06084426362526</v>
      </c>
      <c r="N177" s="6">
        <f t="shared" si="53"/>
        <v>2.54930255168805</v>
      </c>
      <c r="O177" s="7">
        <f t="shared" si="54"/>
        <v>1.82753555868053</v>
      </c>
    </row>
    <row r="178" spans="1:15">
      <c r="A178" s="3" t="s">
        <v>82</v>
      </c>
      <c r="B178" s="3" t="s">
        <v>55</v>
      </c>
      <c r="C178" s="3" t="s">
        <v>60</v>
      </c>
      <c r="D178" s="6">
        <v>0</v>
      </c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f t="shared" si="53"/>
        <v>0</v>
      </c>
      <c r="O178" s="7">
        <f t="shared" si="54"/>
        <v>0</v>
      </c>
    </row>
    <row r="179" spans="1:15">
      <c r="A179" s="3" t="s">
        <v>82</v>
      </c>
      <c r="B179" s="3" t="s">
        <v>55</v>
      </c>
      <c r="C179" s="3" t="s">
        <v>61</v>
      </c>
      <c r="D179" s="6">
        <v>0</v>
      </c>
      <c r="E179" s="6">
        <v>0</v>
      </c>
      <c r="F179" s="6">
        <v>0</v>
      </c>
      <c r="G179" s="6">
        <v>0</v>
      </c>
      <c r="H179" s="6">
        <v>0</v>
      </c>
      <c r="I179" s="6">
        <v>6.85057171442134</v>
      </c>
      <c r="J179" s="6">
        <v>0</v>
      </c>
      <c r="K179" s="6">
        <v>0</v>
      </c>
      <c r="L179" s="6">
        <v>3.5531200585179</v>
      </c>
      <c r="M179" s="6">
        <v>0</v>
      </c>
      <c r="N179" s="6">
        <f t="shared" si="53"/>
        <v>2.08073835458785</v>
      </c>
      <c r="O179" s="7">
        <f t="shared" si="54"/>
        <v>1.62327616028461</v>
      </c>
    </row>
    <row r="180" spans="1:15">
      <c r="A180" s="3" t="s">
        <v>82</v>
      </c>
      <c r="B180" s="3" t="s">
        <v>62</v>
      </c>
      <c r="C180" s="3" t="s">
        <v>63</v>
      </c>
      <c r="D180" s="6">
        <v>0</v>
      </c>
      <c r="E180" s="6">
        <v>0</v>
      </c>
      <c r="F180" s="6">
        <v>0</v>
      </c>
      <c r="G180" s="6">
        <v>3.82471016563739</v>
      </c>
      <c r="H180" s="6">
        <v>0</v>
      </c>
      <c r="I180" s="6">
        <v>0</v>
      </c>
      <c r="J180" s="6">
        <v>0</v>
      </c>
      <c r="K180" s="6">
        <v>0</v>
      </c>
      <c r="L180" s="6">
        <v>8.10560257940238</v>
      </c>
      <c r="M180" s="6">
        <v>0</v>
      </c>
      <c r="N180" s="6">
        <f t="shared" si="53"/>
        <v>1.62112051588048</v>
      </c>
      <c r="O180" s="7">
        <f t="shared" si="54"/>
        <v>1.39018368852552</v>
      </c>
    </row>
    <row r="181" spans="1:15"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9"/>
    </row>
    <row r="182" spans="1:15"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6" t="s">
        <v>52</v>
      </c>
      <c r="O182" s="7" t="s">
        <v>53</v>
      </c>
    </row>
    <row r="183" spans="1:15">
      <c r="A183" s="3" t="s">
        <v>83</v>
      </c>
      <c r="B183" s="3" t="s">
        <v>55</v>
      </c>
      <c r="C183" s="3" t="s">
        <v>56</v>
      </c>
      <c r="D183" s="6">
        <v>0</v>
      </c>
      <c r="E183" s="6">
        <v>0</v>
      </c>
      <c r="F183" s="6">
        <v>0</v>
      </c>
      <c r="G183" s="6">
        <v>1.35135478549454</v>
      </c>
      <c r="H183" s="6">
        <v>0</v>
      </c>
      <c r="I183" s="6">
        <v>0</v>
      </c>
      <c r="J183" s="6">
        <v>0</v>
      </c>
      <c r="K183" s="6">
        <v>2.07870484173545</v>
      </c>
      <c r="L183" s="6">
        <v>1.4163862602195</v>
      </c>
      <c r="M183" s="6">
        <v>2.24830915114819</v>
      </c>
      <c r="N183" s="6">
        <f t="shared" ref="N183:N185" si="55">AVERAGE(I183:M183)</f>
        <v>1.14868005062063</v>
      </c>
      <c r="O183" s="7">
        <f t="shared" ref="O183:O185" si="56">LOG(N183+1,2)</f>
        <v>1.10345067413482</v>
      </c>
    </row>
    <row r="184" spans="1:15">
      <c r="A184" s="3" t="s">
        <v>83</v>
      </c>
      <c r="B184" s="3" t="s">
        <v>55</v>
      </c>
      <c r="C184" s="3" t="s">
        <v>57</v>
      </c>
      <c r="D184" s="6">
        <v>0</v>
      </c>
      <c r="E184" s="6">
        <v>5.09236506486033</v>
      </c>
      <c r="F184" s="6">
        <v>0</v>
      </c>
      <c r="G184" s="6">
        <v>3.03820855625026</v>
      </c>
      <c r="H184" s="6">
        <v>0</v>
      </c>
      <c r="I184" s="6">
        <v>0</v>
      </c>
      <c r="J184" s="6">
        <v>9.58175489725616</v>
      </c>
      <c r="K184" s="6">
        <v>7.34215145612841</v>
      </c>
      <c r="L184" s="6">
        <v>5.71570460387941</v>
      </c>
      <c r="M184" s="6">
        <v>0</v>
      </c>
      <c r="N184" s="6">
        <f t="shared" si="55"/>
        <v>4.5279221914528</v>
      </c>
      <c r="O184" s="7">
        <f t="shared" si="56"/>
        <v>2.46673730914238</v>
      </c>
    </row>
    <row r="185" spans="1:15">
      <c r="A185" s="3" t="s">
        <v>83</v>
      </c>
      <c r="B185" s="3" t="s">
        <v>55</v>
      </c>
      <c r="C185" s="3" t="s">
        <v>58</v>
      </c>
      <c r="D185" s="6">
        <v>0</v>
      </c>
      <c r="E185" s="6">
        <v>1.02843334778973</v>
      </c>
      <c r="F185" s="6">
        <v>0</v>
      </c>
      <c r="G185" s="6">
        <v>2.84346648598936</v>
      </c>
      <c r="H185" s="6">
        <v>0</v>
      </c>
      <c r="I185" s="6">
        <v>0</v>
      </c>
      <c r="J185" s="6">
        <v>0</v>
      </c>
      <c r="K185" s="6">
        <v>3.64597883086706</v>
      </c>
      <c r="L185" s="6">
        <v>1.11798091377748</v>
      </c>
      <c r="M185" s="6">
        <v>1.14781007542758</v>
      </c>
      <c r="N185" s="6">
        <f t="shared" si="55"/>
        <v>1.18235396401442</v>
      </c>
      <c r="O185" s="7">
        <f t="shared" si="56"/>
        <v>1.1258851166537</v>
      </c>
    </row>
    <row r="186" spans="1:15">
      <c r="A186" s="3" t="s">
        <v>83</v>
      </c>
      <c r="B186" s="3" t="s">
        <v>55</v>
      </c>
      <c r="C186" s="3" t="s">
        <v>59</v>
      </c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7"/>
    </row>
    <row r="187" spans="1:15">
      <c r="A187" s="3" t="s">
        <v>83</v>
      </c>
      <c r="B187" s="3" t="s">
        <v>55</v>
      </c>
      <c r="C187" s="3" t="s">
        <v>60</v>
      </c>
      <c r="D187" s="6">
        <v>0</v>
      </c>
      <c r="E187" s="6">
        <v>0</v>
      </c>
      <c r="F187" s="6">
        <v>0</v>
      </c>
      <c r="G187" s="6">
        <v>0</v>
      </c>
      <c r="H187" s="6">
        <v>0</v>
      </c>
      <c r="I187" s="6">
        <v>0</v>
      </c>
      <c r="J187" s="6">
        <v>0</v>
      </c>
      <c r="K187" s="6">
        <v>0</v>
      </c>
      <c r="L187" s="6">
        <v>0</v>
      </c>
      <c r="M187" s="6">
        <v>0</v>
      </c>
      <c r="N187" s="6">
        <f t="shared" ref="N187:N189" si="57">AVERAGE(I187:M187)</f>
        <v>0</v>
      </c>
      <c r="O187" s="7">
        <f t="shared" ref="O187:O189" si="58">LOG(N187+1,2)</f>
        <v>0</v>
      </c>
    </row>
    <row r="188" spans="1:15">
      <c r="A188" s="3" t="s">
        <v>83</v>
      </c>
      <c r="B188" s="3" t="s">
        <v>55</v>
      </c>
      <c r="C188" s="3" t="s">
        <v>61</v>
      </c>
      <c r="D188" s="6">
        <v>0</v>
      </c>
      <c r="E188" s="6">
        <v>0</v>
      </c>
      <c r="F188" s="6">
        <v>0</v>
      </c>
      <c r="G188" s="6">
        <v>2.10313358623515</v>
      </c>
      <c r="H188" s="6">
        <v>0</v>
      </c>
      <c r="I188" s="6">
        <v>0.848558957858374</v>
      </c>
      <c r="J188" s="6">
        <v>0</v>
      </c>
      <c r="K188" s="6">
        <v>3.76133602645148</v>
      </c>
      <c r="L188" s="6">
        <v>1.21610793202369</v>
      </c>
      <c r="M188" s="6">
        <v>0.688578127202428</v>
      </c>
      <c r="N188" s="6">
        <f t="shared" si="57"/>
        <v>1.30291620870719</v>
      </c>
      <c r="O188" s="7">
        <f t="shared" si="58"/>
        <v>1.203461919823</v>
      </c>
    </row>
    <row r="189" spans="1:15">
      <c r="A189" s="3" t="s">
        <v>83</v>
      </c>
      <c r="B189" s="3" t="s">
        <v>62</v>
      </c>
      <c r="C189" s="3" t="s">
        <v>63</v>
      </c>
      <c r="D189" s="6">
        <v>0</v>
      </c>
      <c r="E189" s="6">
        <v>0</v>
      </c>
      <c r="F189" s="6">
        <v>0</v>
      </c>
      <c r="G189" s="6">
        <v>6.10449570049747</v>
      </c>
      <c r="H189" s="6">
        <v>0</v>
      </c>
      <c r="I189" s="6">
        <v>0</v>
      </c>
      <c r="J189" s="6">
        <v>8.6450341116016</v>
      </c>
      <c r="K189" s="6">
        <v>7.24098585294196</v>
      </c>
      <c r="L189" s="6">
        <v>2.83392554764516</v>
      </c>
      <c r="M189" s="6">
        <v>24.8703333830838</v>
      </c>
      <c r="N189" s="6">
        <f t="shared" si="57"/>
        <v>8.7180557790545</v>
      </c>
      <c r="O189" s="7">
        <f t="shared" si="58"/>
        <v>3.28066771316464</v>
      </c>
    </row>
    <row r="190" spans="1:15"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9"/>
    </row>
    <row r="191" spans="1:15"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6" t="s">
        <v>52</v>
      </c>
      <c r="O191" s="7" t="s">
        <v>53</v>
      </c>
    </row>
    <row r="192" spans="1:15">
      <c r="A192" s="3" t="s">
        <v>84</v>
      </c>
      <c r="B192" s="3" t="s">
        <v>55</v>
      </c>
      <c r="C192" s="3" t="s">
        <v>56</v>
      </c>
      <c r="D192" s="6">
        <v>0</v>
      </c>
      <c r="E192" s="6">
        <v>0</v>
      </c>
      <c r="F192" s="6">
        <v>0</v>
      </c>
      <c r="G192" s="6">
        <v>3.02519775058944</v>
      </c>
      <c r="H192" s="6">
        <v>0</v>
      </c>
      <c r="I192" s="6">
        <v>0</v>
      </c>
      <c r="J192" s="6">
        <v>0</v>
      </c>
      <c r="K192" s="6">
        <v>0</v>
      </c>
      <c r="L192" s="6">
        <v>15.7023083536208</v>
      </c>
      <c r="M192" s="6">
        <v>13.8404865140785</v>
      </c>
      <c r="N192" s="6">
        <f t="shared" ref="N192:N198" si="59">AVERAGE(I192:M192)</f>
        <v>5.90855897353986</v>
      </c>
      <c r="O192" s="7">
        <f t="shared" ref="O192:O198" si="60">LOG(N192+1,2)</f>
        <v>2.78838481646974</v>
      </c>
    </row>
    <row r="193" spans="1:15">
      <c r="A193" s="3" t="s">
        <v>84</v>
      </c>
      <c r="B193" s="3" t="s">
        <v>55</v>
      </c>
      <c r="C193" s="3" t="s">
        <v>57</v>
      </c>
      <c r="D193" s="6">
        <v>0</v>
      </c>
      <c r="E193" s="6">
        <v>0</v>
      </c>
      <c r="F193" s="6">
        <v>0</v>
      </c>
      <c r="G193" s="6">
        <v>2.27833992342074</v>
      </c>
      <c r="H193" s="6">
        <v>0</v>
      </c>
      <c r="I193" s="6">
        <v>0</v>
      </c>
      <c r="J193" s="6">
        <v>7.77814724027404</v>
      </c>
      <c r="K193" s="6">
        <v>0</v>
      </c>
      <c r="L193" s="6">
        <v>64.5665786993091</v>
      </c>
      <c r="M193" s="6">
        <v>0</v>
      </c>
      <c r="N193" s="6">
        <f t="shared" si="59"/>
        <v>14.4689451879166</v>
      </c>
      <c r="O193" s="7">
        <f t="shared" si="60"/>
        <v>3.95130291907931</v>
      </c>
    </row>
    <row r="194" spans="1:15">
      <c r="A194" s="3" t="s">
        <v>84</v>
      </c>
      <c r="B194" s="3" t="s">
        <v>55</v>
      </c>
      <c r="C194" s="3" t="s">
        <v>58</v>
      </c>
      <c r="D194" s="6">
        <v>0</v>
      </c>
      <c r="E194" s="6">
        <v>0</v>
      </c>
      <c r="F194" s="6">
        <v>0</v>
      </c>
      <c r="G194" s="6">
        <v>2.15475399147311</v>
      </c>
      <c r="H194" s="6">
        <v>2.14152935331622</v>
      </c>
      <c r="I194" s="6">
        <v>0</v>
      </c>
      <c r="J194" s="6">
        <v>0</v>
      </c>
      <c r="K194" s="6">
        <v>3.64869459793658</v>
      </c>
      <c r="L194" s="6">
        <v>6.34707280599251</v>
      </c>
      <c r="M194" s="6">
        <v>7.42544307178122</v>
      </c>
      <c r="N194" s="6">
        <f t="shared" si="59"/>
        <v>3.48424209514206</v>
      </c>
      <c r="O194" s="7">
        <f t="shared" si="60"/>
        <v>2.16486416842713</v>
      </c>
    </row>
    <row r="195" spans="1:15">
      <c r="A195" s="3" t="s">
        <v>84</v>
      </c>
      <c r="B195" s="3" t="s">
        <v>55</v>
      </c>
      <c r="C195" s="3" t="s">
        <v>59</v>
      </c>
      <c r="D195" s="6">
        <v>0</v>
      </c>
      <c r="E195" s="6">
        <v>0</v>
      </c>
      <c r="F195" s="6">
        <v>2.67478955931106</v>
      </c>
      <c r="G195" s="6">
        <v>1.79902883155802</v>
      </c>
      <c r="H195" s="6">
        <v>2.09998604326588</v>
      </c>
      <c r="I195" s="6">
        <v>12.4641576822355</v>
      </c>
      <c r="J195" s="6">
        <v>0</v>
      </c>
      <c r="K195" s="6">
        <v>7.53889188087679</v>
      </c>
      <c r="L195" s="6">
        <v>3.37307659480643</v>
      </c>
      <c r="M195" s="6">
        <v>2.01967975751645</v>
      </c>
      <c r="N195" s="6">
        <f t="shared" si="59"/>
        <v>5.07916118308703</v>
      </c>
      <c r="O195" s="7">
        <f t="shared" si="60"/>
        <v>2.60387227095721</v>
      </c>
    </row>
    <row r="196" spans="1:15">
      <c r="A196" s="3" t="s">
        <v>84</v>
      </c>
      <c r="B196" s="3" t="s">
        <v>55</v>
      </c>
      <c r="C196" s="3" t="s">
        <v>60</v>
      </c>
      <c r="D196" s="6">
        <v>0</v>
      </c>
      <c r="E196" s="6">
        <v>0</v>
      </c>
      <c r="F196" s="6">
        <v>0</v>
      </c>
      <c r="G196" s="6">
        <v>3.49203730265896</v>
      </c>
      <c r="H196" s="6">
        <v>0</v>
      </c>
      <c r="I196" s="6">
        <v>0</v>
      </c>
      <c r="J196" s="6">
        <v>0</v>
      </c>
      <c r="K196" s="6">
        <v>14.339048828176</v>
      </c>
      <c r="L196" s="6">
        <v>3.05532484990617</v>
      </c>
      <c r="M196" s="6">
        <v>20.9269872307209</v>
      </c>
      <c r="N196" s="6">
        <f t="shared" si="59"/>
        <v>7.66427218176061</v>
      </c>
      <c r="O196" s="7">
        <f t="shared" si="60"/>
        <v>3.11507856486549</v>
      </c>
    </row>
    <row r="197" spans="1:15">
      <c r="A197" s="3" t="s">
        <v>84</v>
      </c>
      <c r="B197" s="3" t="s">
        <v>55</v>
      </c>
      <c r="C197" s="3" t="s">
        <v>61</v>
      </c>
      <c r="D197" s="6">
        <v>0</v>
      </c>
      <c r="E197" s="6">
        <v>0</v>
      </c>
      <c r="F197" s="6">
        <v>5.8252270360944</v>
      </c>
      <c r="G197" s="6">
        <v>0.59307350435358</v>
      </c>
      <c r="H197" s="6">
        <v>0</v>
      </c>
      <c r="I197" s="6">
        <v>4.72526763833355</v>
      </c>
      <c r="J197" s="6">
        <v>0</v>
      </c>
      <c r="K197" s="6">
        <v>0</v>
      </c>
      <c r="L197" s="6">
        <v>5.50324779410391</v>
      </c>
      <c r="M197" s="6">
        <v>8.99575104738128</v>
      </c>
      <c r="N197" s="6">
        <f t="shared" si="59"/>
        <v>3.84485329596375</v>
      </c>
      <c r="O197" s="7">
        <f t="shared" si="60"/>
        <v>2.27645298093655</v>
      </c>
    </row>
    <row r="198" spans="1:15">
      <c r="A198" s="3" t="s">
        <v>84</v>
      </c>
      <c r="B198" s="3" t="s">
        <v>62</v>
      </c>
      <c r="C198" s="3" t="s">
        <v>63</v>
      </c>
      <c r="D198" s="6">
        <v>0</v>
      </c>
      <c r="E198" s="6">
        <v>0</v>
      </c>
      <c r="F198" s="6">
        <v>4.69562931516093</v>
      </c>
      <c r="G198" s="6">
        <v>9.25849019089707</v>
      </c>
      <c r="H198" s="6">
        <v>0</v>
      </c>
      <c r="I198" s="6">
        <v>0</v>
      </c>
      <c r="J198" s="6">
        <v>0</v>
      </c>
      <c r="K198" s="6">
        <v>5.43215478347843</v>
      </c>
      <c r="L198" s="6">
        <v>38.6037028114442</v>
      </c>
      <c r="M198" s="6">
        <v>39.3383065456511</v>
      </c>
      <c r="N198" s="6">
        <f t="shared" si="59"/>
        <v>16.6748328281147</v>
      </c>
      <c r="O198" s="7">
        <f t="shared" si="60"/>
        <v>4.14362466470617</v>
      </c>
    </row>
    <row r="199" spans="1:15"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9"/>
    </row>
    <row r="200" spans="1:15"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6" t="s">
        <v>52</v>
      </c>
      <c r="O200" s="7" t="s">
        <v>53</v>
      </c>
    </row>
    <row r="201" spans="1:15">
      <c r="A201" s="3" t="s">
        <v>85</v>
      </c>
      <c r="B201" s="3" t="s">
        <v>55</v>
      </c>
      <c r="C201" s="3" t="s">
        <v>56</v>
      </c>
      <c r="D201" s="6">
        <v>0</v>
      </c>
      <c r="E201" s="6">
        <v>47.1817434962537</v>
      </c>
      <c r="F201" s="6">
        <v>0</v>
      </c>
      <c r="G201" s="6">
        <v>0</v>
      </c>
      <c r="H201" s="6">
        <v>0</v>
      </c>
      <c r="I201" s="6">
        <v>53.8012133006383</v>
      </c>
      <c r="J201" s="6">
        <v>227.835402256018</v>
      </c>
      <c r="K201" s="6">
        <v>9.01901823882719</v>
      </c>
      <c r="L201" s="6">
        <v>22.2659033963711</v>
      </c>
      <c r="M201" s="6">
        <v>0</v>
      </c>
      <c r="N201" s="6">
        <f t="shared" ref="N201:N203" si="61">AVERAGE(I201:M201)</f>
        <v>62.5843074383709</v>
      </c>
      <c r="O201" s="7">
        <f t="shared" ref="O201:O203" si="62">LOG(N201+1,2)</f>
        <v>5.99059884822203</v>
      </c>
    </row>
    <row r="202" spans="1:15">
      <c r="A202" s="3" t="s">
        <v>85</v>
      </c>
      <c r="B202" s="3" t="s">
        <v>55</v>
      </c>
      <c r="C202" s="3" t="s">
        <v>57</v>
      </c>
      <c r="D202" s="6">
        <v>0</v>
      </c>
      <c r="E202" s="6">
        <v>80.7147815197077</v>
      </c>
      <c r="F202" s="6">
        <v>0</v>
      </c>
      <c r="G202" s="6">
        <v>0</v>
      </c>
      <c r="H202" s="6">
        <v>0</v>
      </c>
      <c r="I202" s="6">
        <v>0</v>
      </c>
      <c r="J202" s="6">
        <v>136.008001945883</v>
      </c>
      <c r="K202" s="6">
        <v>36.0607421432502</v>
      </c>
      <c r="L202" s="6">
        <v>14.5785159152836</v>
      </c>
      <c r="M202" s="6">
        <v>0</v>
      </c>
      <c r="N202" s="6">
        <f t="shared" si="61"/>
        <v>37.3294520008834</v>
      </c>
      <c r="O202" s="7">
        <f t="shared" si="62"/>
        <v>5.26038146685153</v>
      </c>
    </row>
    <row r="203" spans="1:15">
      <c r="A203" s="3" t="s">
        <v>85</v>
      </c>
      <c r="B203" s="3" t="s">
        <v>55</v>
      </c>
      <c r="C203" s="3" t="s">
        <v>58</v>
      </c>
      <c r="D203" s="6">
        <v>0</v>
      </c>
      <c r="E203" s="6">
        <v>57.3642832748698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6">
        <v>22.7220257499054</v>
      </c>
      <c r="L203" s="6">
        <v>17.4058169235535</v>
      </c>
      <c r="M203" s="6">
        <v>0</v>
      </c>
      <c r="N203" s="6">
        <f t="shared" si="61"/>
        <v>8.02556853469178</v>
      </c>
      <c r="O203" s="7">
        <f t="shared" si="62"/>
        <v>3.1740178124814</v>
      </c>
    </row>
    <row r="204" spans="1:15">
      <c r="A204" s="3" t="s">
        <v>85</v>
      </c>
      <c r="B204" s="3" t="s">
        <v>55</v>
      </c>
      <c r="C204" s="3" t="s">
        <v>59</v>
      </c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7"/>
    </row>
    <row r="205" spans="1:15">
      <c r="A205" s="3" t="s">
        <v>85</v>
      </c>
      <c r="B205" s="3" t="s">
        <v>55</v>
      </c>
      <c r="C205" s="3" t="s">
        <v>60</v>
      </c>
      <c r="D205" s="6">
        <v>0</v>
      </c>
      <c r="E205" s="6">
        <v>69.3574334929749</v>
      </c>
      <c r="F205" s="6">
        <v>0</v>
      </c>
      <c r="G205" s="6">
        <v>0</v>
      </c>
      <c r="H205" s="6">
        <v>0</v>
      </c>
      <c r="I205" s="6">
        <v>9.62621461513758</v>
      </c>
      <c r="J205" s="6">
        <v>0</v>
      </c>
      <c r="K205" s="6">
        <v>18.7683531589966</v>
      </c>
      <c r="L205" s="6">
        <v>25.9758243450722</v>
      </c>
      <c r="M205" s="6">
        <v>0</v>
      </c>
      <c r="N205" s="6">
        <f t="shared" ref="N205:N207" si="63">AVERAGE(I205:M205)</f>
        <v>10.8740784238413</v>
      </c>
      <c r="O205" s="7">
        <f t="shared" ref="O205:O207" si="64">LOG(N205+1,2)</f>
        <v>3.56974364159852</v>
      </c>
    </row>
    <row r="206" spans="1:15">
      <c r="A206" s="3" t="s">
        <v>85</v>
      </c>
      <c r="B206" s="3" t="s">
        <v>55</v>
      </c>
      <c r="C206" s="3" t="s">
        <v>61</v>
      </c>
      <c r="D206" s="6">
        <v>0</v>
      </c>
      <c r="E206" s="6">
        <v>9.98428554001708</v>
      </c>
      <c r="F206" s="6">
        <v>0</v>
      </c>
      <c r="G206" s="6">
        <v>0</v>
      </c>
      <c r="H206" s="6">
        <v>0</v>
      </c>
      <c r="I206" s="6">
        <v>4.27553467751809</v>
      </c>
      <c r="J206" s="6">
        <v>0</v>
      </c>
      <c r="K206" s="6">
        <v>24.4202256246841</v>
      </c>
      <c r="L206" s="6">
        <v>9.36709532748171</v>
      </c>
      <c r="M206" s="6">
        <v>0</v>
      </c>
      <c r="N206" s="6">
        <f t="shared" si="63"/>
        <v>7.61257112593678</v>
      </c>
      <c r="O206" s="7">
        <f t="shared" si="64"/>
        <v>3.10644399219865</v>
      </c>
    </row>
    <row r="207" spans="1:15">
      <c r="A207" s="3" t="s">
        <v>85</v>
      </c>
      <c r="B207" s="3" t="s">
        <v>62</v>
      </c>
      <c r="C207" s="3" t="s">
        <v>63</v>
      </c>
      <c r="D207" s="6">
        <v>0</v>
      </c>
      <c r="E207" s="6">
        <v>29.6318657827464</v>
      </c>
      <c r="F207" s="6">
        <v>0</v>
      </c>
      <c r="G207" s="6">
        <v>18.406127889685</v>
      </c>
      <c r="H207" s="6">
        <v>0</v>
      </c>
      <c r="I207" s="6">
        <v>146.564741579378</v>
      </c>
      <c r="J207" s="6">
        <v>202.794430245043</v>
      </c>
      <c r="K207" s="6">
        <v>0</v>
      </c>
      <c r="L207" s="6">
        <v>17.8390344997449</v>
      </c>
      <c r="M207" s="6">
        <v>0</v>
      </c>
      <c r="N207" s="6">
        <f t="shared" si="63"/>
        <v>73.4396412648332</v>
      </c>
      <c r="O207" s="7">
        <f t="shared" si="64"/>
        <v>6.21799919774959</v>
      </c>
    </row>
    <row r="208" spans="1:15"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9"/>
    </row>
    <row r="209" spans="1:15"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6" t="s">
        <v>52</v>
      </c>
      <c r="O209" s="7" t="s">
        <v>53</v>
      </c>
    </row>
    <row r="210" spans="1:15">
      <c r="A210" s="3" t="s">
        <v>86</v>
      </c>
      <c r="B210" s="3" t="s">
        <v>55</v>
      </c>
      <c r="C210" s="3" t="s">
        <v>56</v>
      </c>
      <c r="D210" s="6">
        <v>0</v>
      </c>
      <c r="E210" s="6">
        <v>0</v>
      </c>
      <c r="F210" s="6">
        <v>0</v>
      </c>
      <c r="G210" s="6">
        <v>15.1769</v>
      </c>
      <c r="H210" s="6">
        <v>0</v>
      </c>
      <c r="I210" s="6">
        <v>0</v>
      </c>
      <c r="J210" s="6">
        <v>0</v>
      </c>
      <c r="K210" s="6">
        <v>0</v>
      </c>
      <c r="L210" s="6">
        <v>2.31653065494873</v>
      </c>
      <c r="M210" s="6">
        <v>7.07220821491705</v>
      </c>
      <c r="N210" s="6">
        <f t="shared" ref="N210:N216" si="65">AVERAGE(I210:M210)</f>
        <v>1.87774777397316</v>
      </c>
      <c r="O210" s="7">
        <f t="shared" ref="O210:O216" si="66">LOG(N210+1,2)</f>
        <v>1.52494014969309</v>
      </c>
    </row>
    <row r="211" spans="1:15">
      <c r="A211" s="3" t="s">
        <v>86</v>
      </c>
      <c r="B211" s="3" t="s">
        <v>55</v>
      </c>
      <c r="C211" s="3" t="s">
        <v>57</v>
      </c>
      <c r="D211" s="6">
        <v>0</v>
      </c>
      <c r="E211" s="6">
        <v>4.19165573149552</v>
      </c>
      <c r="F211" s="6">
        <v>0</v>
      </c>
      <c r="G211" s="6">
        <v>0</v>
      </c>
      <c r="H211" s="6">
        <v>0</v>
      </c>
      <c r="I211" s="6">
        <v>0</v>
      </c>
      <c r="J211" s="6">
        <v>0</v>
      </c>
      <c r="K211" s="6">
        <v>0</v>
      </c>
      <c r="L211" s="6">
        <v>3.27485475607303</v>
      </c>
      <c r="M211" s="6">
        <v>0</v>
      </c>
      <c r="N211" s="6">
        <f t="shared" si="65"/>
        <v>0.654970951214606</v>
      </c>
      <c r="O211" s="7">
        <f t="shared" si="66"/>
        <v>0.726805894430422</v>
      </c>
    </row>
    <row r="212" spans="1:15">
      <c r="A212" s="3" t="s">
        <v>86</v>
      </c>
      <c r="B212" s="3" t="s">
        <v>55</v>
      </c>
      <c r="C212" s="3" t="s">
        <v>58</v>
      </c>
      <c r="D212" s="6">
        <v>0</v>
      </c>
      <c r="E212" s="6">
        <v>0</v>
      </c>
      <c r="F212" s="6">
        <v>0</v>
      </c>
      <c r="G212" s="6">
        <v>0</v>
      </c>
      <c r="H212" s="6">
        <v>0</v>
      </c>
      <c r="I212" s="6">
        <v>0</v>
      </c>
      <c r="J212" s="6">
        <v>0</v>
      </c>
      <c r="K212" s="6">
        <v>5.36903685262164</v>
      </c>
      <c r="L212" s="6">
        <v>0</v>
      </c>
      <c r="M212" s="6">
        <v>36.0822190493064</v>
      </c>
      <c r="N212" s="6">
        <f t="shared" si="65"/>
        <v>8.29025118038561</v>
      </c>
      <c r="O212" s="7">
        <f t="shared" si="66"/>
        <v>3.21571760326001</v>
      </c>
    </row>
    <row r="213" spans="1:15">
      <c r="A213" s="3" t="s">
        <v>86</v>
      </c>
      <c r="B213" s="3" t="s">
        <v>55</v>
      </c>
      <c r="C213" s="3" t="s">
        <v>59</v>
      </c>
      <c r="D213" s="6">
        <v>0</v>
      </c>
      <c r="E213" s="6">
        <v>5.68313911988294</v>
      </c>
      <c r="F213" s="6">
        <v>0</v>
      </c>
      <c r="G213" s="6">
        <v>9.1632</v>
      </c>
      <c r="H213" s="6">
        <v>0</v>
      </c>
      <c r="I213" s="6">
        <v>9.41953421181362</v>
      </c>
      <c r="J213" s="6">
        <v>0</v>
      </c>
      <c r="K213" s="6">
        <v>3.41871812846206</v>
      </c>
      <c r="L213" s="6">
        <v>0.955166313756236</v>
      </c>
      <c r="M213" s="6">
        <v>0</v>
      </c>
      <c r="N213" s="6">
        <f t="shared" si="65"/>
        <v>2.75868373080638</v>
      </c>
      <c r="O213" s="7">
        <f t="shared" si="66"/>
        <v>1.91022752692836</v>
      </c>
    </row>
    <row r="214" spans="1:15">
      <c r="A214" s="3" t="s">
        <v>86</v>
      </c>
      <c r="B214" s="3" t="s">
        <v>55</v>
      </c>
      <c r="C214" s="3" t="s">
        <v>60</v>
      </c>
      <c r="D214" s="6">
        <v>0</v>
      </c>
      <c r="E214" s="6">
        <v>0</v>
      </c>
      <c r="F214" s="6">
        <v>0</v>
      </c>
      <c r="G214" s="6">
        <v>0</v>
      </c>
      <c r="H214" s="6">
        <v>0</v>
      </c>
      <c r="I214" s="6">
        <v>0</v>
      </c>
      <c r="J214" s="6">
        <v>0</v>
      </c>
      <c r="K214" s="6">
        <v>0</v>
      </c>
      <c r="L214" s="6">
        <v>0</v>
      </c>
      <c r="M214" s="6">
        <v>5.37927518064755</v>
      </c>
      <c r="N214" s="6">
        <f t="shared" si="65"/>
        <v>1.07585503612951</v>
      </c>
      <c r="O214" s="7">
        <f t="shared" si="66"/>
        <v>1.05370569901404</v>
      </c>
    </row>
    <row r="215" spans="1:15">
      <c r="A215" s="3" t="s">
        <v>86</v>
      </c>
      <c r="B215" s="3" t="s">
        <v>55</v>
      </c>
      <c r="C215" s="3" t="s">
        <v>61</v>
      </c>
      <c r="D215" s="6">
        <v>0</v>
      </c>
      <c r="E215" s="6">
        <v>1.44339775082747</v>
      </c>
      <c r="F215" s="6">
        <v>0</v>
      </c>
      <c r="G215" s="6">
        <v>2.26768100945514</v>
      </c>
      <c r="H215" s="6">
        <v>0</v>
      </c>
      <c r="I215" s="6">
        <v>2.11279381107095</v>
      </c>
      <c r="J215" s="6">
        <v>0</v>
      </c>
      <c r="K215" s="6">
        <v>5.62139075929031</v>
      </c>
      <c r="L215" s="6">
        <v>1.28612489620204</v>
      </c>
      <c r="M215" s="6">
        <v>0</v>
      </c>
      <c r="N215" s="6">
        <f t="shared" si="65"/>
        <v>1.80406189331266</v>
      </c>
      <c r="O215" s="7">
        <f t="shared" si="66"/>
        <v>1.48751819392406</v>
      </c>
    </row>
    <row r="216" spans="1:15">
      <c r="A216" s="3" t="s">
        <v>86</v>
      </c>
      <c r="B216" s="3" t="s">
        <v>62</v>
      </c>
      <c r="C216" s="3" t="s">
        <v>63</v>
      </c>
      <c r="D216" s="6">
        <v>0</v>
      </c>
      <c r="E216" s="6">
        <v>0</v>
      </c>
      <c r="F216" s="6">
        <v>0</v>
      </c>
      <c r="G216" s="6">
        <v>9.215077261994</v>
      </c>
      <c r="H216" s="6">
        <v>0</v>
      </c>
      <c r="I216" s="6">
        <v>0</v>
      </c>
      <c r="J216" s="6">
        <v>0</v>
      </c>
      <c r="K216" s="6">
        <v>2.07608921198938</v>
      </c>
      <c r="L216" s="6">
        <v>9.44549100621332</v>
      </c>
      <c r="M216" s="6">
        <v>30.0748989383807</v>
      </c>
      <c r="N216" s="6">
        <f t="shared" si="65"/>
        <v>8.31929583131668</v>
      </c>
      <c r="O216" s="7">
        <f t="shared" si="66"/>
        <v>3.22022094854401</v>
      </c>
    </row>
    <row r="217" spans="1:15"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9"/>
    </row>
    <row r="218" spans="1:15"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6" t="s">
        <v>52</v>
      </c>
      <c r="O218" s="7" t="s">
        <v>53</v>
      </c>
    </row>
    <row r="219" spans="1:15">
      <c r="A219" s="3" t="s">
        <v>87</v>
      </c>
      <c r="B219" s="3" t="s">
        <v>55</v>
      </c>
      <c r="C219" s="3" t="s">
        <v>56</v>
      </c>
      <c r="D219" s="6">
        <v>0</v>
      </c>
      <c r="E219" s="6">
        <v>0</v>
      </c>
      <c r="F219" s="6">
        <v>0</v>
      </c>
      <c r="G219" s="6">
        <v>4.34781307106455</v>
      </c>
      <c r="H219" s="6">
        <v>0</v>
      </c>
      <c r="I219" s="6">
        <v>0</v>
      </c>
      <c r="J219" s="6">
        <v>59.0146610169491</v>
      </c>
      <c r="K219" s="6">
        <v>13.1198323947039</v>
      </c>
      <c r="L219" s="6">
        <v>11.6095663829868</v>
      </c>
      <c r="M219" s="6">
        <v>0</v>
      </c>
      <c r="N219" s="6">
        <f t="shared" ref="N219:N222" si="67">AVERAGE(I219:M219)</f>
        <v>16.748811958928</v>
      </c>
      <c r="O219" s="7">
        <f t="shared" ref="O219:O222" si="68">LOG(N219+1,2)</f>
        <v>4.14965055396521</v>
      </c>
    </row>
    <row r="220" spans="1:15">
      <c r="A220" s="3" t="s">
        <v>87</v>
      </c>
      <c r="B220" s="3" t="s">
        <v>55</v>
      </c>
      <c r="C220" s="3" t="s">
        <v>57</v>
      </c>
      <c r="D220" s="6">
        <v>0</v>
      </c>
      <c r="E220" s="6">
        <v>27.4245668694262</v>
      </c>
      <c r="F220" s="6">
        <v>0</v>
      </c>
      <c r="G220" s="6">
        <v>6.52412619410402</v>
      </c>
      <c r="H220" s="6">
        <v>40.9928440857818</v>
      </c>
      <c r="I220" s="6">
        <v>0</v>
      </c>
      <c r="J220" s="6">
        <v>21.0514149063372</v>
      </c>
      <c r="K220" s="6">
        <v>1.42359827265053</v>
      </c>
      <c r="L220" s="6">
        <v>11.4300080729924</v>
      </c>
      <c r="M220" s="6">
        <v>2.00797205285499</v>
      </c>
      <c r="N220" s="6">
        <f t="shared" si="67"/>
        <v>7.18259866096702</v>
      </c>
      <c r="O220" s="7">
        <f t="shared" si="68"/>
        <v>3.03255909254407</v>
      </c>
    </row>
    <row r="221" spans="1:15">
      <c r="A221" s="3" t="s">
        <v>87</v>
      </c>
      <c r="B221" s="3" t="s">
        <v>55</v>
      </c>
      <c r="C221" s="3" t="s">
        <v>58</v>
      </c>
      <c r="D221" s="6">
        <v>0</v>
      </c>
      <c r="E221" s="6">
        <v>19.3512155443962</v>
      </c>
      <c r="F221" s="6">
        <v>0</v>
      </c>
      <c r="G221" s="6">
        <v>5.58665551528668</v>
      </c>
      <c r="H221" s="6">
        <v>46.3743178372916</v>
      </c>
      <c r="I221" s="6">
        <v>0</v>
      </c>
      <c r="J221" s="6">
        <v>0</v>
      </c>
      <c r="K221" s="6">
        <v>7.81056601178938</v>
      </c>
      <c r="L221" s="6">
        <v>9.81036467076784</v>
      </c>
      <c r="M221" s="6">
        <v>2.87173364542063</v>
      </c>
      <c r="N221" s="6">
        <f t="shared" si="67"/>
        <v>4.09853286559557</v>
      </c>
      <c r="O221" s="7">
        <f t="shared" si="68"/>
        <v>2.35008216237105</v>
      </c>
    </row>
    <row r="222" spans="1:15">
      <c r="A222" s="3" t="s">
        <v>87</v>
      </c>
      <c r="B222" s="3" t="s">
        <v>55</v>
      </c>
      <c r="C222" s="3" t="s">
        <v>59</v>
      </c>
      <c r="D222" s="6">
        <v>0</v>
      </c>
      <c r="E222" s="6">
        <v>11.1792846216541</v>
      </c>
      <c r="F222" s="6">
        <v>0</v>
      </c>
      <c r="G222" s="6">
        <v>8.74180466560647</v>
      </c>
      <c r="H222" s="6">
        <v>50.5431265508685</v>
      </c>
      <c r="I222" s="6">
        <v>0</v>
      </c>
      <c r="J222" s="6">
        <v>0</v>
      </c>
      <c r="K222" s="6">
        <v>1.77445854021995</v>
      </c>
      <c r="L222" s="6">
        <v>6.44470445074519</v>
      </c>
      <c r="M222" s="6">
        <v>5.64461984805054</v>
      </c>
      <c r="N222" s="6">
        <f t="shared" si="67"/>
        <v>2.77275656780314</v>
      </c>
      <c r="O222" s="7">
        <f t="shared" si="68"/>
        <v>1.91561901513523</v>
      </c>
    </row>
    <row r="223" spans="1:15">
      <c r="A223" s="3" t="s">
        <v>87</v>
      </c>
      <c r="B223" s="3" t="s">
        <v>55</v>
      </c>
      <c r="C223" s="3" t="s">
        <v>60</v>
      </c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7"/>
    </row>
    <row r="224" spans="1:15">
      <c r="A224" s="3" t="s">
        <v>87</v>
      </c>
      <c r="B224" s="3" t="s">
        <v>55</v>
      </c>
      <c r="C224" s="3" t="s">
        <v>61</v>
      </c>
      <c r="D224" s="6">
        <v>0</v>
      </c>
      <c r="E224" s="6">
        <v>0.420512812303397</v>
      </c>
      <c r="F224" s="6">
        <v>3.89890786688617</v>
      </c>
      <c r="G224" s="6">
        <v>10.4070965972092</v>
      </c>
      <c r="H224" s="6">
        <v>112.659021029835</v>
      </c>
      <c r="I224" s="6">
        <v>1.48729536340668</v>
      </c>
      <c r="J224" s="6">
        <v>0</v>
      </c>
      <c r="K224" s="6">
        <v>1.27516828850847</v>
      </c>
      <c r="L224" s="6">
        <v>3.36429183268326</v>
      </c>
      <c r="M224" s="6">
        <v>1.53549204716816</v>
      </c>
      <c r="N224" s="6">
        <f t="shared" ref="N224:N234" si="69">AVERAGE(I224:M224)</f>
        <v>1.53244950635331</v>
      </c>
      <c r="O224" s="7">
        <f t="shared" ref="O224:O234" si="70">LOG(N224+1,2)</f>
        <v>1.34053350390898</v>
      </c>
    </row>
    <row r="225" spans="1:15">
      <c r="A225" s="3" t="s">
        <v>87</v>
      </c>
      <c r="B225" s="3" t="s">
        <v>62</v>
      </c>
      <c r="C225" s="3" t="s">
        <v>63</v>
      </c>
      <c r="D225" s="6">
        <v>0</v>
      </c>
      <c r="E225" s="6">
        <v>8.9615316009614</v>
      </c>
      <c r="F225" s="6">
        <v>0</v>
      </c>
      <c r="G225" s="6">
        <v>31.1249790872015</v>
      </c>
      <c r="H225" s="6">
        <v>86.3817190111727</v>
      </c>
      <c r="I225" s="6">
        <v>86.1214805980321</v>
      </c>
      <c r="J225" s="6">
        <v>95.9304601495174</v>
      </c>
      <c r="K225" s="6">
        <v>50.8542136506208</v>
      </c>
      <c r="L225" s="6">
        <v>25.1894187927214</v>
      </c>
      <c r="M225" s="6">
        <v>23.3475063531593</v>
      </c>
      <c r="N225" s="6">
        <f t="shared" si="69"/>
        <v>56.2886159088102</v>
      </c>
      <c r="O225" s="7">
        <f t="shared" si="70"/>
        <v>5.84017657761092</v>
      </c>
    </row>
    <row r="226" spans="1:15"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9"/>
    </row>
    <row r="227" spans="1:15"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6" t="s">
        <v>52</v>
      </c>
      <c r="O227" s="7" t="s">
        <v>53</v>
      </c>
    </row>
    <row r="228" spans="1:15">
      <c r="A228" s="3" t="s">
        <v>88</v>
      </c>
      <c r="B228" s="3" t="s">
        <v>55</v>
      </c>
      <c r="C228" s="3" t="s">
        <v>56</v>
      </c>
      <c r="D228" s="6">
        <v>0</v>
      </c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2.4036671051579</v>
      </c>
      <c r="L228" s="6">
        <v>21.0176050683104</v>
      </c>
      <c r="M228" s="6">
        <v>0</v>
      </c>
      <c r="N228" s="6">
        <f t="shared" si="69"/>
        <v>4.68425443469366</v>
      </c>
      <c r="O228" s="7">
        <f t="shared" si="70"/>
        <v>2.50697113295074</v>
      </c>
    </row>
    <row r="229" spans="1:15">
      <c r="A229" s="3" t="s">
        <v>88</v>
      </c>
      <c r="B229" s="3" t="s">
        <v>55</v>
      </c>
      <c r="C229" s="3" t="s">
        <v>57</v>
      </c>
      <c r="D229" s="6">
        <v>0</v>
      </c>
      <c r="E229" s="6">
        <v>15.5563961471587</v>
      </c>
      <c r="F229" s="6">
        <v>7.36684231276532</v>
      </c>
      <c r="G229" s="6">
        <v>0</v>
      </c>
      <c r="H229" s="6">
        <v>0</v>
      </c>
      <c r="I229" s="6">
        <v>0</v>
      </c>
      <c r="J229" s="6">
        <v>38.0022208017653</v>
      </c>
      <c r="K229" s="6">
        <v>0</v>
      </c>
      <c r="L229" s="6">
        <v>5.11386536312352</v>
      </c>
      <c r="M229" s="6">
        <v>0</v>
      </c>
      <c r="N229" s="6">
        <f t="shared" si="69"/>
        <v>8.62321723297776</v>
      </c>
      <c r="O229" s="7">
        <f t="shared" si="70"/>
        <v>3.26651929629317</v>
      </c>
    </row>
    <row r="230" spans="1:15">
      <c r="A230" s="3" t="s">
        <v>88</v>
      </c>
      <c r="B230" s="3" t="s">
        <v>55</v>
      </c>
      <c r="C230" s="3" t="s">
        <v>58</v>
      </c>
      <c r="D230" s="6">
        <v>0</v>
      </c>
      <c r="E230" s="6">
        <v>0</v>
      </c>
      <c r="F230" s="6">
        <v>0</v>
      </c>
      <c r="G230" s="6">
        <v>0</v>
      </c>
      <c r="H230" s="6">
        <v>0</v>
      </c>
      <c r="I230" s="6">
        <v>0</v>
      </c>
      <c r="J230" s="6">
        <v>0</v>
      </c>
      <c r="K230" s="6">
        <v>2.90303062136522</v>
      </c>
      <c r="L230" s="6">
        <v>0</v>
      </c>
      <c r="M230" s="6">
        <v>0</v>
      </c>
      <c r="N230" s="6">
        <f t="shared" si="69"/>
        <v>0.580606124273044</v>
      </c>
      <c r="O230" s="7">
        <f t="shared" si="70"/>
        <v>0.660477903209811</v>
      </c>
    </row>
    <row r="231" spans="1:15">
      <c r="A231" s="3" t="s">
        <v>88</v>
      </c>
      <c r="B231" s="3" t="s">
        <v>55</v>
      </c>
      <c r="C231" s="3" t="s">
        <v>59</v>
      </c>
      <c r="D231" s="6">
        <v>0</v>
      </c>
      <c r="E231" s="6">
        <v>0</v>
      </c>
      <c r="F231" s="6">
        <v>0</v>
      </c>
      <c r="G231" s="6">
        <v>0</v>
      </c>
      <c r="H231" s="6">
        <v>0</v>
      </c>
      <c r="I231" s="6">
        <v>0</v>
      </c>
      <c r="J231" s="6">
        <v>0</v>
      </c>
      <c r="K231" s="6">
        <v>5.74266174193896</v>
      </c>
      <c r="L231" s="6">
        <v>0</v>
      </c>
      <c r="M231" s="6">
        <v>0</v>
      </c>
      <c r="N231" s="6">
        <f t="shared" si="69"/>
        <v>1.14853234838779</v>
      </c>
      <c r="O231" s="7">
        <f t="shared" si="70"/>
        <v>1.10335149854882</v>
      </c>
    </row>
    <row r="232" spans="1:15">
      <c r="A232" s="3" t="s">
        <v>88</v>
      </c>
      <c r="B232" s="3" t="s">
        <v>55</v>
      </c>
      <c r="C232" s="3" t="s">
        <v>60</v>
      </c>
      <c r="D232" s="6">
        <v>0</v>
      </c>
      <c r="E232" s="6">
        <v>0</v>
      </c>
      <c r="F232" s="6">
        <v>0</v>
      </c>
      <c r="G232" s="6">
        <v>0</v>
      </c>
      <c r="H232" s="6">
        <v>0</v>
      </c>
      <c r="I232" s="6">
        <v>0</v>
      </c>
      <c r="J232" s="6">
        <v>0</v>
      </c>
      <c r="K232" s="6">
        <v>0</v>
      </c>
      <c r="L232" s="6">
        <v>0</v>
      </c>
      <c r="M232" s="6">
        <v>8.6486834571746</v>
      </c>
      <c r="N232" s="6">
        <f t="shared" si="69"/>
        <v>1.72973669143492</v>
      </c>
      <c r="O232" s="7">
        <f t="shared" si="70"/>
        <v>1.4487617964632</v>
      </c>
    </row>
    <row r="233" spans="1:15">
      <c r="A233" s="3" t="s">
        <v>88</v>
      </c>
      <c r="B233" s="3" t="s">
        <v>55</v>
      </c>
      <c r="C233" s="3" t="s">
        <v>61</v>
      </c>
      <c r="D233" s="6">
        <v>0</v>
      </c>
      <c r="E233" s="6">
        <v>4.3354809650228</v>
      </c>
      <c r="F233" s="6">
        <v>0</v>
      </c>
      <c r="G233" s="6">
        <v>4.4246272390063</v>
      </c>
      <c r="H233" s="6">
        <v>47.7622498089633</v>
      </c>
      <c r="I233" s="6">
        <v>0</v>
      </c>
      <c r="J233" s="6">
        <v>0</v>
      </c>
      <c r="K233" s="6">
        <v>0</v>
      </c>
      <c r="L233" s="6">
        <v>0.316982383640567</v>
      </c>
      <c r="M233" s="6">
        <v>0</v>
      </c>
      <c r="N233" s="6">
        <f t="shared" si="69"/>
        <v>0.0633964767281134</v>
      </c>
      <c r="O233" s="7">
        <f t="shared" si="70"/>
        <v>0.0886795915679045</v>
      </c>
    </row>
    <row r="234" spans="1:15">
      <c r="A234" s="3" t="s">
        <v>88</v>
      </c>
      <c r="B234" s="3" t="s">
        <v>62</v>
      </c>
      <c r="C234" s="3" t="s">
        <v>63</v>
      </c>
      <c r="D234" s="6">
        <v>0</v>
      </c>
      <c r="E234" s="6">
        <v>29.0017922119663</v>
      </c>
      <c r="F234" s="6">
        <v>0</v>
      </c>
      <c r="G234" s="6">
        <v>17.0126796810057</v>
      </c>
      <c r="H234" s="6">
        <v>0</v>
      </c>
      <c r="I234" s="6">
        <v>6.1265294189517</v>
      </c>
      <c r="J234" s="6">
        <v>16.195961383951</v>
      </c>
      <c r="K234" s="6">
        <v>18.6696301828619</v>
      </c>
      <c r="L234" s="6">
        <v>5.13574729606756</v>
      </c>
      <c r="M234" s="6">
        <v>23.0831065794775</v>
      </c>
      <c r="N234" s="6">
        <f t="shared" si="69"/>
        <v>13.8421949722619</v>
      </c>
      <c r="O234" s="7">
        <f t="shared" si="70"/>
        <v>3.8916325589101</v>
      </c>
    </row>
    <row r="235" spans="1:15"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9"/>
    </row>
    <row r="236" spans="1:15"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6" t="s">
        <v>52</v>
      </c>
      <c r="O236" s="7" t="s">
        <v>53</v>
      </c>
    </row>
    <row r="237" spans="1:15">
      <c r="A237" s="3" t="s">
        <v>89</v>
      </c>
      <c r="B237" s="3" t="s">
        <v>55</v>
      </c>
      <c r="C237" s="3" t="s">
        <v>56</v>
      </c>
      <c r="D237" s="6">
        <v>0</v>
      </c>
      <c r="E237" s="6">
        <v>0</v>
      </c>
      <c r="F237" s="6">
        <v>0</v>
      </c>
      <c r="G237" s="6">
        <v>0</v>
      </c>
      <c r="H237" s="6">
        <v>0</v>
      </c>
      <c r="I237" s="6">
        <v>0</v>
      </c>
      <c r="J237" s="6">
        <v>17.523596043941</v>
      </c>
      <c r="K237" s="6">
        <v>5.55316566536954</v>
      </c>
      <c r="L237" s="6">
        <v>0</v>
      </c>
      <c r="M237" s="6">
        <v>0</v>
      </c>
      <c r="N237" s="6">
        <f t="shared" ref="N237:N243" si="71">AVERAGE(I237:M237)</f>
        <v>4.61535234186211</v>
      </c>
      <c r="O237" s="7">
        <f t="shared" ref="O237:O243" si="72">LOG(N237+1,2)</f>
        <v>2.48937654905672</v>
      </c>
    </row>
    <row r="238" spans="1:15">
      <c r="A238" s="3" t="s">
        <v>89</v>
      </c>
      <c r="B238" s="3" t="s">
        <v>55</v>
      </c>
      <c r="C238" s="3" t="s">
        <v>57</v>
      </c>
      <c r="D238" s="6">
        <v>0</v>
      </c>
      <c r="E238" s="6">
        <v>2.66622956989832</v>
      </c>
      <c r="F238" s="6">
        <v>0</v>
      </c>
      <c r="G238" s="6">
        <v>0</v>
      </c>
      <c r="H238" s="6">
        <v>0</v>
      </c>
      <c r="I238" s="6">
        <v>0</v>
      </c>
      <c r="J238" s="6">
        <v>0</v>
      </c>
      <c r="K238" s="6">
        <v>0</v>
      </c>
      <c r="L238" s="6">
        <v>16.5052815355955</v>
      </c>
      <c r="M238" s="6">
        <v>0</v>
      </c>
      <c r="N238" s="6">
        <f t="shared" si="71"/>
        <v>3.3010563071191</v>
      </c>
      <c r="O238" s="7">
        <f t="shared" si="72"/>
        <v>2.1046910183948</v>
      </c>
    </row>
    <row r="239" spans="1:15">
      <c r="A239" s="3" t="s">
        <v>89</v>
      </c>
      <c r="B239" s="3" t="s">
        <v>55</v>
      </c>
      <c r="C239" s="3" t="s">
        <v>58</v>
      </c>
      <c r="D239" s="6">
        <v>0</v>
      </c>
      <c r="E239" s="6">
        <v>0</v>
      </c>
      <c r="F239" s="6">
        <v>0</v>
      </c>
      <c r="G239" s="6">
        <v>0</v>
      </c>
      <c r="H239" s="6">
        <v>0</v>
      </c>
      <c r="I239" s="6">
        <v>0</v>
      </c>
      <c r="J239" s="6">
        <v>0</v>
      </c>
      <c r="K239" s="6">
        <v>6.22911274633094</v>
      </c>
      <c r="L239" s="6">
        <v>0</v>
      </c>
      <c r="M239" s="6">
        <v>0</v>
      </c>
      <c r="N239" s="6">
        <f t="shared" si="71"/>
        <v>1.24582254926619</v>
      </c>
      <c r="O239" s="7">
        <f t="shared" si="72"/>
        <v>1.16724393957848</v>
      </c>
    </row>
    <row r="240" spans="1:15">
      <c r="A240" s="3" t="s">
        <v>89</v>
      </c>
      <c r="B240" s="3" t="s">
        <v>55</v>
      </c>
      <c r="C240" s="3" t="s">
        <v>59</v>
      </c>
      <c r="D240" s="6">
        <v>0</v>
      </c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10.9053228450128</v>
      </c>
      <c r="L240" s="6">
        <v>0</v>
      </c>
      <c r="M240" s="6">
        <v>0</v>
      </c>
      <c r="N240" s="6">
        <f t="shared" si="71"/>
        <v>2.18106456900256</v>
      </c>
      <c r="O240" s="7">
        <f t="shared" si="72"/>
        <v>1.66950965588697</v>
      </c>
    </row>
    <row r="241" spans="1:15">
      <c r="A241" s="3" t="s">
        <v>89</v>
      </c>
      <c r="B241" s="3" t="s">
        <v>55</v>
      </c>
      <c r="C241" s="3" t="s">
        <v>60</v>
      </c>
      <c r="D241" s="6">
        <v>0</v>
      </c>
      <c r="E241" s="6">
        <v>0</v>
      </c>
      <c r="F241" s="6">
        <v>0</v>
      </c>
      <c r="G241" s="6">
        <v>3.19553510521068</v>
      </c>
      <c r="H241" s="6">
        <v>0</v>
      </c>
      <c r="I241" s="6">
        <v>0</v>
      </c>
      <c r="J241" s="6">
        <v>0</v>
      </c>
      <c r="K241" s="6">
        <v>0</v>
      </c>
      <c r="L241" s="6">
        <v>4.66473467505385</v>
      </c>
      <c r="M241" s="6">
        <v>0</v>
      </c>
      <c r="N241" s="6">
        <f t="shared" si="71"/>
        <v>0.93294693501077</v>
      </c>
      <c r="O241" s="7">
        <f t="shared" si="72"/>
        <v>0.950802031937329</v>
      </c>
    </row>
    <row r="242" spans="1:15">
      <c r="A242" s="3" t="s">
        <v>89</v>
      </c>
      <c r="B242" s="3" t="s">
        <v>55</v>
      </c>
      <c r="C242" s="3" t="s">
        <v>61</v>
      </c>
      <c r="D242" s="6">
        <v>0</v>
      </c>
      <c r="E242" s="6">
        <v>0</v>
      </c>
      <c r="F242" s="6">
        <v>0</v>
      </c>
      <c r="G242" s="6">
        <v>0</v>
      </c>
      <c r="H242" s="6">
        <v>0</v>
      </c>
      <c r="I242" s="6">
        <v>0</v>
      </c>
      <c r="J242" s="6">
        <v>0</v>
      </c>
      <c r="K242" s="6">
        <v>0</v>
      </c>
      <c r="L242" s="6">
        <v>0</v>
      </c>
      <c r="M242" s="6">
        <v>15.1951989543735</v>
      </c>
      <c r="N242" s="6">
        <f t="shared" si="71"/>
        <v>3.0390397908747</v>
      </c>
      <c r="O242" s="7">
        <f t="shared" si="72"/>
        <v>2.01401235891915</v>
      </c>
    </row>
    <row r="243" spans="1:15">
      <c r="A243" s="3" t="s">
        <v>89</v>
      </c>
      <c r="B243" s="3" t="s">
        <v>62</v>
      </c>
      <c r="C243" s="3" t="s">
        <v>63</v>
      </c>
      <c r="D243" s="6">
        <v>0</v>
      </c>
      <c r="E243" s="6">
        <v>16.6716565687061</v>
      </c>
      <c r="F243" s="6">
        <v>0</v>
      </c>
      <c r="G243" s="6">
        <v>11.1094576336248</v>
      </c>
      <c r="H243" s="6">
        <v>0</v>
      </c>
      <c r="I243" s="6">
        <v>40.8179970502256</v>
      </c>
      <c r="J243" s="11">
        <v>44.2755586397455</v>
      </c>
      <c r="K243" s="6">
        <v>145.049177659309</v>
      </c>
      <c r="L243" s="6">
        <v>7.7871002141439</v>
      </c>
      <c r="M243" s="6">
        <v>0</v>
      </c>
      <c r="N243" s="6">
        <f t="shared" si="71"/>
        <v>47.5859667126848</v>
      </c>
      <c r="O243" s="7">
        <f t="shared" si="72"/>
        <v>5.60246776926228</v>
      </c>
    </row>
    <row r="244" spans="1:15"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9"/>
    </row>
    <row r="245" spans="1:15"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6" t="s">
        <v>52</v>
      </c>
      <c r="O245" s="7" t="s">
        <v>53</v>
      </c>
    </row>
    <row r="246" spans="1:15">
      <c r="A246" s="3" t="s">
        <v>90</v>
      </c>
      <c r="B246" s="3" t="s">
        <v>55</v>
      </c>
      <c r="C246" s="3" t="s">
        <v>56</v>
      </c>
      <c r="D246" s="6">
        <v>0</v>
      </c>
      <c r="E246" s="6">
        <v>0</v>
      </c>
      <c r="F246" s="6">
        <v>0</v>
      </c>
      <c r="G246" s="6">
        <v>2.35322806629312</v>
      </c>
      <c r="H246" s="6">
        <v>0</v>
      </c>
      <c r="I246" s="6">
        <v>0</v>
      </c>
      <c r="J246" s="6">
        <v>8.3676838576667</v>
      </c>
      <c r="K246" s="6">
        <v>6.89744065281899</v>
      </c>
      <c r="L246" s="6">
        <v>0</v>
      </c>
      <c r="M246" s="6">
        <v>0</v>
      </c>
      <c r="N246" s="6">
        <f t="shared" ref="N246:N252" si="73">AVERAGE(I246:M246)</f>
        <v>3.05302490209714</v>
      </c>
      <c r="O246" s="7">
        <f t="shared" ref="O246:O252" si="74">LOG(N246+1,2)</f>
        <v>2.01899903944142</v>
      </c>
    </row>
    <row r="247" spans="1:15">
      <c r="A247" s="3" t="s">
        <v>90</v>
      </c>
      <c r="B247" s="3" t="s">
        <v>55</v>
      </c>
      <c r="C247" s="3" t="s">
        <v>57</v>
      </c>
      <c r="D247" s="6">
        <v>0</v>
      </c>
      <c r="E247" s="6">
        <v>0</v>
      </c>
      <c r="F247" s="6">
        <v>0</v>
      </c>
      <c r="G247" s="6">
        <v>0</v>
      </c>
      <c r="H247" s="6">
        <v>0</v>
      </c>
      <c r="I247" s="6">
        <v>0</v>
      </c>
      <c r="J247" s="6">
        <v>4.99697843417896</v>
      </c>
      <c r="K247" s="6">
        <v>0</v>
      </c>
      <c r="L247" s="6">
        <v>3.97671521032351</v>
      </c>
      <c r="M247" s="6">
        <v>0</v>
      </c>
      <c r="N247" s="6">
        <f t="shared" si="73"/>
        <v>1.79473872890049</v>
      </c>
      <c r="O247" s="7">
        <f t="shared" si="74"/>
        <v>1.4827134164716</v>
      </c>
    </row>
    <row r="248" spans="1:15">
      <c r="A248" s="3" t="s">
        <v>90</v>
      </c>
      <c r="B248" s="3" t="s">
        <v>55</v>
      </c>
      <c r="C248" s="3" t="s">
        <v>58</v>
      </c>
      <c r="D248" s="6">
        <v>0</v>
      </c>
      <c r="E248" s="6">
        <v>0</v>
      </c>
      <c r="F248" s="6">
        <v>0</v>
      </c>
      <c r="G248" s="6">
        <v>0.201611174133892</v>
      </c>
      <c r="H248" s="6">
        <v>0</v>
      </c>
      <c r="I248" s="6">
        <v>0</v>
      </c>
      <c r="J248" s="6">
        <v>0</v>
      </c>
      <c r="K248" s="6">
        <v>10.2253067416052</v>
      </c>
      <c r="L248" s="6">
        <v>3.78616307917876</v>
      </c>
      <c r="M248" s="6">
        <v>16.1277</v>
      </c>
      <c r="N248" s="6">
        <f t="shared" si="73"/>
        <v>6.02783396415679</v>
      </c>
      <c r="O248" s="7">
        <f t="shared" si="74"/>
        <v>2.81308010740816</v>
      </c>
    </row>
    <row r="249" spans="1:15">
      <c r="A249" s="3" t="s">
        <v>90</v>
      </c>
      <c r="B249" s="3" t="s">
        <v>55</v>
      </c>
      <c r="C249" s="3" t="s">
        <v>59</v>
      </c>
      <c r="D249" s="6">
        <v>0</v>
      </c>
      <c r="E249" s="6">
        <v>0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  <c r="M249" s="6">
        <v>0</v>
      </c>
      <c r="N249" s="6">
        <f t="shared" si="73"/>
        <v>0</v>
      </c>
      <c r="O249" s="7">
        <f t="shared" si="74"/>
        <v>0</v>
      </c>
    </row>
    <row r="250" spans="1:15">
      <c r="A250" s="3" t="s">
        <v>90</v>
      </c>
      <c r="B250" s="3" t="s">
        <v>55</v>
      </c>
      <c r="C250" s="3" t="s">
        <v>60</v>
      </c>
      <c r="D250" s="6">
        <v>0</v>
      </c>
      <c r="E250" s="6">
        <v>3.52701132766141</v>
      </c>
      <c r="F250" s="6">
        <v>0</v>
      </c>
      <c r="G250" s="6">
        <v>0.316531524507511</v>
      </c>
      <c r="H250" s="6">
        <v>0</v>
      </c>
      <c r="I250" s="6">
        <v>0</v>
      </c>
      <c r="J250" s="6">
        <v>0</v>
      </c>
      <c r="K250" s="6">
        <v>41.6726740571356</v>
      </c>
      <c r="L250" s="6">
        <v>4.20722356367461</v>
      </c>
      <c r="M250" s="6">
        <v>1.16002170407563</v>
      </c>
      <c r="N250" s="6">
        <f t="shared" si="73"/>
        <v>9.40798386497717</v>
      </c>
      <c r="O250" s="7">
        <f t="shared" si="74"/>
        <v>3.3796187255131</v>
      </c>
    </row>
    <row r="251" spans="1:15">
      <c r="A251" s="3" t="s">
        <v>90</v>
      </c>
      <c r="B251" s="3" t="s">
        <v>55</v>
      </c>
      <c r="C251" s="3" t="s">
        <v>61</v>
      </c>
      <c r="D251" s="6">
        <v>0</v>
      </c>
      <c r="E251" s="6">
        <v>0</v>
      </c>
      <c r="F251" s="6">
        <v>0</v>
      </c>
      <c r="G251" s="6">
        <v>0.276510770909137</v>
      </c>
      <c r="H251" s="6">
        <v>0</v>
      </c>
      <c r="I251" s="6">
        <v>0</v>
      </c>
      <c r="J251" s="6">
        <v>0</v>
      </c>
      <c r="K251" s="6">
        <v>0.171814231982189</v>
      </c>
      <c r="L251" s="6">
        <v>1.1382623436882</v>
      </c>
      <c r="M251" s="6">
        <v>0</v>
      </c>
      <c r="N251" s="6">
        <f t="shared" si="73"/>
        <v>0.262015315134078</v>
      </c>
      <c r="O251" s="7">
        <f t="shared" si="74"/>
        <v>0.335729418192029</v>
      </c>
    </row>
    <row r="252" spans="1:15">
      <c r="A252" s="3" t="s">
        <v>90</v>
      </c>
      <c r="B252" s="3" t="s">
        <v>62</v>
      </c>
      <c r="C252" s="3" t="s">
        <v>63</v>
      </c>
      <c r="D252" s="6">
        <v>0</v>
      </c>
      <c r="E252" s="6">
        <v>0</v>
      </c>
      <c r="F252" s="6">
        <v>0</v>
      </c>
      <c r="G252" s="6">
        <v>7.16602217108267</v>
      </c>
      <c r="H252" s="6">
        <v>0</v>
      </c>
      <c r="I252" s="6">
        <v>0</v>
      </c>
      <c r="J252" s="6">
        <v>0</v>
      </c>
      <c r="K252" s="6">
        <v>0</v>
      </c>
      <c r="L252" s="6">
        <v>5.15102735246041</v>
      </c>
      <c r="M252" s="6">
        <v>16.149469700765</v>
      </c>
      <c r="N252" s="6">
        <f t="shared" si="73"/>
        <v>4.26009941064508</v>
      </c>
      <c r="O252" s="7">
        <f t="shared" si="74"/>
        <v>2.39509006527602</v>
      </c>
    </row>
    <row r="253" spans="1:15"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9"/>
    </row>
    <row r="254" spans="1:15"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6" t="s">
        <v>52</v>
      </c>
      <c r="O254" s="7" t="s">
        <v>53</v>
      </c>
    </row>
    <row r="255" spans="1:15">
      <c r="A255" s="3" t="s">
        <v>91</v>
      </c>
      <c r="B255" s="3" t="s">
        <v>55</v>
      </c>
      <c r="C255" s="3" t="s">
        <v>56</v>
      </c>
      <c r="D255" s="6">
        <v>0</v>
      </c>
      <c r="E255" s="6">
        <v>0</v>
      </c>
      <c r="F255" s="6">
        <v>0</v>
      </c>
      <c r="G255" s="6">
        <v>0</v>
      </c>
      <c r="H255" s="6">
        <v>0</v>
      </c>
      <c r="I255" s="6">
        <v>0</v>
      </c>
      <c r="J255" s="6">
        <v>0</v>
      </c>
      <c r="K255" s="6">
        <v>5.48086475631185</v>
      </c>
      <c r="L255" s="6">
        <v>12.8104484807237</v>
      </c>
      <c r="M255" s="6">
        <v>0</v>
      </c>
      <c r="N255" s="6">
        <f t="shared" ref="N255:N261" si="75">AVERAGE(I255:M255)</f>
        <v>3.65826264740711</v>
      </c>
      <c r="O255" s="7">
        <f t="shared" ref="O255:O261" si="76">LOG(N255+1,2)</f>
        <v>2.21979198549751</v>
      </c>
    </row>
    <row r="256" spans="1:15">
      <c r="A256" s="3" t="s">
        <v>91</v>
      </c>
      <c r="B256" s="3" t="s">
        <v>55</v>
      </c>
      <c r="C256" s="3" t="s">
        <v>57</v>
      </c>
      <c r="D256" s="6">
        <v>0</v>
      </c>
      <c r="E256" s="6">
        <v>0</v>
      </c>
      <c r="F256" s="6">
        <v>0</v>
      </c>
      <c r="G256" s="6">
        <v>0</v>
      </c>
      <c r="H256" s="6">
        <v>0</v>
      </c>
      <c r="I256" s="6">
        <v>0</v>
      </c>
      <c r="J256" s="6">
        <v>7.28670721473025</v>
      </c>
      <c r="K256" s="6">
        <v>0</v>
      </c>
      <c r="L256" s="6">
        <v>0</v>
      </c>
      <c r="M256" s="6">
        <v>0</v>
      </c>
      <c r="N256" s="6">
        <f t="shared" si="75"/>
        <v>1.45734144294605</v>
      </c>
      <c r="O256" s="7">
        <f t="shared" si="76"/>
        <v>1.29709833137555</v>
      </c>
    </row>
    <row r="257" spans="1:15">
      <c r="A257" s="3" t="s">
        <v>91</v>
      </c>
      <c r="B257" s="3" t="s">
        <v>55</v>
      </c>
      <c r="C257" s="3" t="s">
        <v>58</v>
      </c>
      <c r="D257" s="6">
        <v>0</v>
      </c>
      <c r="E257" s="6">
        <v>0</v>
      </c>
      <c r="F257" s="6">
        <v>0</v>
      </c>
      <c r="G257" s="6">
        <v>0</v>
      </c>
      <c r="H257" s="6">
        <v>0</v>
      </c>
      <c r="I257" s="6">
        <v>0</v>
      </c>
      <c r="J257" s="6">
        <v>0</v>
      </c>
      <c r="K257" s="6">
        <v>0</v>
      </c>
      <c r="L257" s="6">
        <v>4.03553986005815</v>
      </c>
      <c r="M257" s="6">
        <v>0</v>
      </c>
      <c r="N257" s="6">
        <f t="shared" si="75"/>
        <v>0.80710797201163</v>
      </c>
      <c r="O257" s="7">
        <f t="shared" si="76"/>
        <v>0.85368270765913</v>
      </c>
    </row>
    <row r="258" spans="1:15">
      <c r="A258" s="3" t="s">
        <v>91</v>
      </c>
      <c r="B258" s="3" t="s">
        <v>55</v>
      </c>
      <c r="C258" s="3" t="s">
        <v>59</v>
      </c>
      <c r="D258" s="6">
        <v>0</v>
      </c>
      <c r="E258" s="6">
        <v>1.96175580415294</v>
      </c>
      <c r="F258" s="6">
        <v>0</v>
      </c>
      <c r="G258" s="6">
        <v>0</v>
      </c>
      <c r="H258" s="6">
        <v>0</v>
      </c>
      <c r="I258" s="6">
        <v>0</v>
      </c>
      <c r="J258" s="6">
        <v>0</v>
      </c>
      <c r="K258" s="6">
        <v>2.44176513549226</v>
      </c>
      <c r="L258" s="6">
        <v>0</v>
      </c>
      <c r="M258" s="6">
        <v>0</v>
      </c>
      <c r="N258" s="6">
        <f t="shared" si="75"/>
        <v>0.488353027098452</v>
      </c>
      <c r="O258" s="7">
        <f t="shared" si="76"/>
        <v>0.573716764374031</v>
      </c>
    </row>
    <row r="259" spans="1:15">
      <c r="A259" s="3" t="s">
        <v>91</v>
      </c>
      <c r="B259" s="3" t="s">
        <v>55</v>
      </c>
      <c r="C259" s="3" t="s">
        <v>60</v>
      </c>
      <c r="D259" s="6">
        <v>0</v>
      </c>
      <c r="E259" s="6">
        <v>0</v>
      </c>
      <c r="F259" s="6">
        <v>0</v>
      </c>
      <c r="G259" s="6">
        <v>0</v>
      </c>
      <c r="H259" s="6">
        <v>0</v>
      </c>
      <c r="I259" s="6">
        <v>0</v>
      </c>
      <c r="J259" s="6">
        <v>0</v>
      </c>
      <c r="K259" s="6">
        <v>0</v>
      </c>
      <c r="L259" s="6">
        <v>0</v>
      </c>
      <c r="M259" s="6">
        <v>0</v>
      </c>
      <c r="N259" s="6">
        <f t="shared" si="75"/>
        <v>0</v>
      </c>
      <c r="O259" s="7">
        <f t="shared" si="76"/>
        <v>0</v>
      </c>
    </row>
    <row r="260" spans="1:15">
      <c r="A260" s="3" t="s">
        <v>91</v>
      </c>
      <c r="B260" s="3" t="s">
        <v>55</v>
      </c>
      <c r="C260" s="3" t="s">
        <v>61</v>
      </c>
      <c r="D260" s="6">
        <v>0</v>
      </c>
      <c r="E260" s="6">
        <v>0</v>
      </c>
      <c r="F260" s="6">
        <v>0</v>
      </c>
      <c r="G260" s="6">
        <v>0</v>
      </c>
      <c r="H260" s="6">
        <v>0</v>
      </c>
      <c r="I260" s="6">
        <v>0</v>
      </c>
      <c r="J260" s="6">
        <v>0</v>
      </c>
      <c r="K260" s="6">
        <v>2.27482059351094</v>
      </c>
      <c r="L260" s="6">
        <v>2.00133655497162</v>
      </c>
      <c r="M260" s="6">
        <v>0</v>
      </c>
      <c r="N260" s="6">
        <f t="shared" si="75"/>
        <v>0.855231429696512</v>
      </c>
      <c r="O260" s="7">
        <f t="shared" si="76"/>
        <v>0.891599166172022</v>
      </c>
    </row>
    <row r="261" spans="1:15">
      <c r="A261" s="3" t="s">
        <v>91</v>
      </c>
      <c r="B261" s="3" t="s">
        <v>62</v>
      </c>
      <c r="C261" s="3" t="s">
        <v>63</v>
      </c>
      <c r="D261" s="6">
        <v>0</v>
      </c>
      <c r="E261" s="6">
        <v>4.81277296758869</v>
      </c>
      <c r="F261" s="6">
        <v>0</v>
      </c>
      <c r="G261" s="6">
        <v>0</v>
      </c>
      <c r="H261" s="6">
        <v>0</v>
      </c>
      <c r="I261" s="6">
        <v>0</v>
      </c>
      <c r="J261" s="6">
        <v>0</v>
      </c>
      <c r="K261" s="6">
        <v>0</v>
      </c>
      <c r="L261" s="6">
        <v>2.95790326214704</v>
      </c>
      <c r="M261" s="6">
        <v>0</v>
      </c>
      <c r="N261" s="6">
        <f t="shared" si="75"/>
        <v>0.591580652429408</v>
      </c>
      <c r="O261" s="7">
        <f t="shared" si="76"/>
        <v>0.670460266563362</v>
      </c>
    </row>
    <row r="262" spans="1:15"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9"/>
    </row>
    <row r="263" spans="1:15"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6" t="s">
        <v>52</v>
      </c>
      <c r="O263" s="7" t="s">
        <v>53</v>
      </c>
    </row>
    <row r="264" spans="1:15">
      <c r="A264" s="3" t="s">
        <v>92</v>
      </c>
      <c r="B264" s="3" t="s">
        <v>55</v>
      </c>
      <c r="C264" s="3" t="s">
        <v>56</v>
      </c>
      <c r="D264" s="6">
        <v>0</v>
      </c>
      <c r="E264" s="6">
        <v>1.47637055101361</v>
      </c>
      <c r="F264" s="6">
        <v>0</v>
      </c>
      <c r="G264" s="6">
        <v>10.3400719445144</v>
      </c>
      <c r="H264" s="6">
        <v>0</v>
      </c>
      <c r="I264" s="6">
        <v>130.209393422277</v>
      </c>
      <c r="J264" s="6">
        <v>98.5956109360578</v>
      </c>
      <c r="K264" s="6">
        <v>0</v>
      </c>
      <c r="L264" s="6">
        <v>28.4755369290078</v>
      </c>
      <c r="M264" s="6">
        <v>1.55059377847393</v>
      </c>
      <c r="N264" s="6">
        <f t="shared" ref="N264:N270" si="77">AVERAGE(I264:M264)</f>
        <v>51.7662270131633</v>
      </c>
      <c r="O264" s="7">
        <f t="shared" ref="O264:O270" si="78">LOG(N264+1,2)</f>
        <v>5.72154292389876</v>
      </c>
    </row>
    <row r="265" spans="1:15">
      <c r="A265" s="3" t="s">
        <v>92</v>
      </c>
      <c r="B265" s="3" t="s">
        <v>55</v>
      </c>
      <c r="C265" s="3" t="s">
        <v>57</v>
      </c>
      <c r="D265" s="6">
        <v>0</v>
      </c>
      <c r="E265" s="6">
        <v>0.67103001237285</v>
      </c>
      <c r="F265" s="6">
        <v>16.8137827954118</v>
      </c>
      <c r="G265" s="6">
        <v>0</v>
      </c>
      <c r="H265" s="6">
        <v>0</v>
      </c>
      <c r="I265" s="6">
        <v>0</v>
      </c>
      <c r="J265" s="6">
        <v>13.1443386763368</v>
      </c>
      <c r="K265" s="6">
        <v>6.40621007450367</v>
      </c>
      <c r="L265" s="6">
        <v>32.938350798013</v>
      </c>
      <c r="M265" s="6">
        <v>0</v>
      </c>
      <c r="N265" s="6">
        <f t="shared" si="77"/>
        <v>10.4977799097707</v>
      </c>
      <c r="O265" s="7">
        <f t="shared" si="78"/>
        <v>3.5232834149816</v>
      </c>
    </row>
    <row r="266" spans="1:15">
      <c r="A266" s="3" t="s">
        <v>92</v>
      </c>
      <c r="B266" s="3" t="s">
        <v>55</v>
      </c>
      <c r="C266" s="3" t="s">
        <v>58</v>
      </c>
      <c r="D266" s="6">
        <v>0</v>
      </c>
      <c r="E266" s="6">
        <v>0</v>
      </c>
      <c r="F266" s="6">
        <v>0</v>
      </c>
      <c r="G266" s="6">
        <v>0</v>
      </c>
      <c r="H266" s="6">
        <v>0</v>
      </c>
      <c r="I266" s="6">
        <v>0</v>
      </c>
      <c r="J266" s="6">
        <v>0</v>
      </c>
      <c r="K266" s="6">
        <v>0</v>
      </c>
      <c r="L266" s="6">
        <v>18.0991950243875</v>
      </c>
      <c r="M266" s="6">
        <v>0</v>
      </c>
      <c r="N266" s="6">
        <f t="shared" si="77"/>
        <v>3.6198390048775</v>
      </c>
      <c r="O266" s="7">
        <f t="shared" si="78"/>
        <v>2.20784257655218</v>
      </c>
    </row>
    <row r="267" spans="1:15">
      <c r="A267" s="3" t="s">
        <v>92</v>
      </c>
      <c r="B267" s="3" t="s">
        <v>55</v>
      </c>
      <c r="C267" s="3" t="s">
        <v>59</v>
      </c>
      <c r="D267" s="6">
        <v>0</v>
      </c>
      <c r="E267" s="6">
        <v>0</v>
      </c>
      <c r="F267" s="6">
        <v>0</v>
      </c>
      <c r="G267" s="6">
        <v>0</v>
      </c>
      <c r="H267" s="6">
        <v>0</v>
      </c>
      <c r="I267" s="6">
        <v>0</v>
      </c>
      <c r="J267" s="6">
        <v>0</v>
      </c>
      <c r="K267" s="6">
        <v>0</v>
      </c>
      <c r="L267" s="6">
        <v>0</v>
      </c>
      <c r="M267" s="6">
        <v>0</v>
      </c>
      <c r="N267" s="6">
        <f t="shared" si="77"/>
        <v>0</v>
      </c>
      <c r="O267" s="7">
        <f t="shared" si="78"/>
        <v>0</v>
      </c>
    </row>
    <row r="268" spans="1:15">
      <c r="A268" s="3" t="s">
        <v>92</v>
      </c>
      <c r="B268" s="3" t="s">
        <v>55</v>
      </c>
      <c r="C268" s="3" t="s">
        <v>60</v>
      </c>
      <c r="D268" s="6">
        <v>0</v>
      </c>
      <c r="E268" s="6">
        <v>7.21698681831285</v>
      </c>
      <c r="F268" s="6">
        <v>0</v>
      </c>
      <c r="G268" s="6">
        <v>2.59401320401352</v>
      </c>
      <c r="H268" s="6">
        <v>0</v>
      </c>
      <c r="I268" s="6">
        <v>0</v>
      </c>
      <c r="J268" s="6">
        <v>0</v>
      </c>
      <c r="K268" s="6">
        <v>0</v>
      </c>
      <c r="L268" s="6">
        <v>1.84939373279886</v>
      </c>
      <c r="M268" s="6">
        <v>0.307951318094578</v>
      </c>
      <c r="N268" s="6">
        <f t="shared" si="77"/>
        <v>0.431469010178688</v>
      </c>
      <c r="O268" s="7">
        <f t="shared" si="78"/>
        <v>0.517496437822091</v>
      </c>
    </row>
    <row r="269" spans="1:15">
      <c r="A269" s="3" t="s">
        <v>92</v>
      </c>
      <c r="B269" s="3" t="s">
        <v>55</v>
      </c>
      <c r="C269" s="3" t="s">
        <v>61</v>
      </c>
      <c r="D269" s="6">
        <v>0</v>
      </c>
      <c r="E269" s="6">
        <v>0</v>
      </c>
      <c r="F269" s="6">
        <v>0.764884672892615</v>
      </c>
      <c r="G269" s="6">
        <v>2.55883226784574</v>
      </c>
      <c r="H269" s="6">
        <v>0</v>
      </c>
      <c r="I269" s="6">
        <v>0</v>
      </c>
      <c r="J269" s="6">
        <v>44.9678789530206</v>
      </c>
      <c r="K269" s="6">
        <v>16.1925212252846</v>
      </c>
      <c r="L269" s="6">
        <v>3.28953529602259</v>
      </c>
      <c r="M269" s="6">
        <v>1.83095552510278</v>
      </c>
      <c r="N269" s="6">
        <f t="shared" si="77"/>
        <v>13.2561781998861</v>
      </c>
      <c r="O269" s="7">
        <f t="shared" si="78"/>
        <v>3.83351537042361</v>
      </c>
    </row>
    <row r="270" spans="1:15">
      <c r="A270" s="3" t="s">
        <v>92</v>
      </c>
      <c r="B270" s="3" t="s">
        <v>62</v>
      </c>
      <c r="C270" s="3" t="s">
        <v>63</v>
      </c>
      <c r="D270" s="6">
        <v>0</v>
      </c>
      <c r="E270" s="6">
        <v>1.54536331918031</v>
      </c>
      <c r="F270" s="6">
        <v>0</v>
      </c>
      <c r="G270" s="6">
        <v>11.1864541017772</v>
      </c>
      <c r="H270" s="6">
        <v>0</v>
      </c>
      <c r="I270" s="6">
        <v>0</v>
      </c>
      <c r="J270" s="6">
        <v>0</v>
      </c>
      <c r="K270" s="6">
        <v>0</v>
      </c>
      <c r="L270" s="6">
        <v>14.6825227517424</v>
      </c>
      <c r="M270" s="6">
        <v>46.8643054412528</v>
      </c>
      <c r="N270" s="6">
        <f t="shared" si="77"/>
        <v>12.309365638599</v>
      </c>
      <c r="O270" s="7">
        <f t="shared" si="78"/>
        <v>3.73436990491574</v>
      </c>
    </row>
    <row r="271" spans="1:15"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9"/>
    </row>
    <row r="272" spans="1:15"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6" t="s">
        <v>52</v>
      </c>
      <c r="O272" s="7" t="s">
        <v>53</v>
      </c>
    </row>
    <row r="273" spans="1:15">
      <c r="A273" s="3" t="s">
        <v>93</v>
      </c>
      <c r="B273" s="3" t="s">
        <v>55</v>
      </c>
      <c r="C273" s="3" t="s">
        <v>56</v>
      </c>
      <c r="D273" s="6">
        <v>0</v>
      </c>
      <c r="E273" s="6">
        <v>0</v>
      </c>
      <c r="F273" s="6">
        <v>0</v>
      </c>
      <c r="G273" s="6">
        <v>0</v>
      </c>
      <c r="H273" s="6">
        <v>0</v>
      </c>
      <c r="I273" s="6">
        <v>0</v>
      </c>
      <c r="J273" s="6">
        <v>2.41391194765131</v>
      </c>
      <c r="K273" s="6">
        <v>0</v>
      </c>
      <c r="L273" s="6">
        <v>0</v>
      </c>
      <c r="M273" s="6">
        <v>0</v>
      </c>
      <c r="N273" s="6">
        <f t="shared" ref="N273:N275" si="79">AVERAGE(I273:M273)</f>
        <v>0.482782389530262</v>
      </c>
      <c r="O273" s="7">
        <f t="shared" ref="O273:O275" si="80">LOG(N273+1,2)</f>
        <v>0.568306886004647</v>
      </c>
    </row>
    <row r="274" spans="1:15">
      <c r="A274" s="3" t="s">
        <v>93</v>
      </c>
      <c r="B274" s="3" t="s">
        <v>55</v>
      </c>
      <c r="C274" s="3" t="s">
        <v>57</v>
      </c>
      <c r="D274" s="6">
        <v>0</v>
      </c>
      <c r="E274" s="6">
        <v>0</v>
      </c>
      <c r="F274" s="6">
        <v>0</v>
      </c>
      <c r="G274" s="6">
        <v>2.48507473821111</v>
      </c>
      <c r="H274" s="6">
        <v>0</v>
      </c>
      <c r="I274" s="6">
        <v>0</v>
      </c>
      <c r="J274" s="6">
        <v>5.30016718354765</v>
      </c>
      <c r="K274" s="6">
        <v>8.74993778689811</v>
      </c>
      <c r="L274" s="6">
        <v>1.24568081635381</v>
      </c>
      <c r="M274" s="6">
        <v>0</v>
      </c>
      <c r="N274" s="6">
        <f t="shared" si="79"/>
        <v>3.05915715735991</v>
      </c>
      <c r="O274" s="7">
        <f t="shared" si="80"/>
        <v>2.02118019757554</v>
      </c>
    </row>
    <row r="275" spans="1:15">
      <c r="A275" s="3" t="s">
        <v>93</v>
      </c>
      <c r="B275" s="3" t="s">
        <v>55</v>
      </c>
      <c r="C275" s="3" t="s">
        <v>58</v>
      </c>
      <c r="D275" s="6">
        <v>0</v>
      </c>
      <c r="E275" s="6">
        <v>0</v>
      </c>
      <c r="F275" s="6">
        <v>0</v>
      </c>
      <c r="G275" s="6">
        <v>0</v>
      </c>
      <c r="H275" s="6">
        <v>0</v>
      </c>
      <c r="I275" s="6">
        <v>0</v>
      </c>
      <c r="J275" s="6">
        <v>0</v>
      </c>
      <c r="K275" s="6">
        <v>9.3924931705395</v>
      </c>
      <c r="L275" s="6">
        <v>0</v>
      </c>
      <c r="M275" s="6">
        <v>0</v>
      </c>
      <c r="N275" s="6">
        <f t="shared" si="79"/>
        <v>1.8784986341079</v>
      </c>
      <c r="O275" s="7">
        <f t="shared" si="80"/>
        <v>1.52531652767351</v>
      </c>
    </row>
    <row r="276" spans="1:15">
      <c r="A276" s="3" t="s">
        <v>93</v>
      </c>
      <c r="B276" s="3" t="s">
        <v>55</v>
      </c>
      <c r="C276" s="3" t="s">
        <v>59</v>
      </c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7"/>
    </row>
    <row r="277" spans="1:15">
      <c r="A277" s="3" t="s">
        <v>93</v>
      </c>
      <c r="B277" s="3" t="s">
        <v>55</v>
      </c>
      <c r="C277" s="3" t="s">
        <v>60</v>
      </c>
      <c r="D277" s="6">
        <v>0</v>
      </c>
      <c r="E277" s="6">
        <v>0</v>
      </c>
      <c r="F277" s="6">
        <v>0</v>
      </c>
      <c r="G277" s="6">
        <v>1.69541289089601</v>
      </c>
      <c r="H277" s="6">
        <v>0</v>
      </c>
      <c r="I277" s="6">
        <v>0</v>
      </c>
      <c r="J277" s="6">
        <v>0</v>
      </c>
      <c r="K277" s="6">
        <v>0</v>
      </c>
      <c r="L277" s="6">
        <v>4.70828510121686</v>
      </c>
      <c r="M277" s="6">
        <v>0</v>
      </c>
      <c r="N277" s="6">
        <f t="shared" ref="N277:N288" si="81">AVERAGE(I277:M277)</f>
        <v>0.941657020243372</v>
      </c>
      <c r="O277" s="7">
        <f t="shared" ref="O277:O288" si="82">LOG(N277+1,2)</f>
        <v>0.957288381553082</v>
      </c>
    </row>
    <row r="278" spans="1:15">
      <c r="A278" s="3" t="s">
        <v>93</v>
      </c>
      <c r="B278" s="3" t="s">
        <v>55</v>
      </c>
      <c r="C278" s="3" t="s">
        <v>61</v>
      </c>
      <c r="D278" s="6">
        <v>0</v>
      </c>
      <c r="E278" s="6">
        <v>0</v>
      </c>
      <c r="F278" s="6">
        <v>0</v>
      </c>
      <c r="G278" s="6">
        <v>0</v>
      </c>
      <c r="H278" s="6">
        <v>0</v>
      </c>
      <c r="I278" s="6">
        <v>0</v>
      </c>
      <c r="J278" s="6">
        <v>0</v>
      </c>
      <c r="K278" s="6">
        <v>10.9507487187849</v>
      </c>
      <c r="L278" s="6">
        <v>0</v>
      </c>
      <c r="M278" s="6">
        <v>0</v>
      </c>
      <c r="N278" s="6">
        <f t="shared" si="81"/>
        <v>2.19014974375698</v>
      </c>
      <c r="O278" s="7">
        <f t="shared" si="82"/>
        <v>1.67362414483819</v>
      </c>
    </row>
    <row r="279" spans="1:15">
      <c r="A279" s="3" t="s">
        <v>93</v>
      </c>
      <c r="B279" s="3" t="s">
        <v>62</v>
      </c>
      <c r="C279" s="3" t="s">
        <v>63</v>
      </c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7"/>
    </row>
    <row r="280" spans="1:15"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9"/>
    </row>
    <row r="281" spans="1:15"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6" t="s">
        <v>52</v>
      </c>
      <c r="O281" s="7" t="s">
        <v>53</v>
      </c>
    </row>
    <row r="282" spans="1:15">
      <c r="A282" s="3" t="s">
        <v>94</v>
      </c>
      <c r="B282" s="3" t="s">
        <v>55</v>
      </c>
      <c r="C282" s="3" t="s">
        <v>56</v>
      </c>
      <c r="D282" s="6">
        <v>0</v>
      </c>
      <c r="E282" s="6">
        <v>0</v>
      </c>
      <c r="F282" s="6">
        <v>0</v>
      </c>
      <c r="G282" s="6">
        <v>1.12995357379435</v>
      </c>
      <c r="H282" s="6">
        <v>0</v>
      </c>
      <c r="I282" s="6">
        <v>0</v>
      </c>
      <c r="J282" s="6">
        <v>0</v>
      </c>
      <c r="K282" s="6">
        <v>8.5871198984333</v>
      </c>
      <c r="L282" s="6">
        <v>2.75402583551212</v>
      </c>
      <c r="M282" s="6">
        <v>1.41377649852801</v>
      </c>
      <c r="N282" s="6">
        <f t="shared" si="81"/>
        <v>2.55098444649469</v>
      </c>
      <c r="O282" s="7">
        <f t="shared" si="82"/>
        <v>1.82821904128985</v>
      </c>
    </row>
    <row r="283" spans="1:15">
      <c r="A283" s="3" t="s">
        <v>94</v>
      </c>
      <c r="B283" s="3" t="s">
        <v>55</v>
      </c>
      <c r="C283" s="3" t="s">
        <v>57</v>
      </c>
      <c r="D283" s="6">
        <v>0</v>
      </c>
      <c r="E283" s="6">
        <v>15.8787475740442</v>
      </c>
      <c r="F283" s="6">
        <v>12.974634702893</v>
      </c>
      <c r="G283" s="6">
        <v>0</v>
      </c>
      <c r="H283" s="6">
        <v>0</v>
      </c>
      <c r="I283" s="6">
        <v>0</v>
      </c>
      <c r="J283" s="6">
        <v>38.2149996846626</v>
      </c>
      <c r="K283" s="6">
        <v>0</v>
      </c>
      <c r="L283" s="6">
        <v>40.2978536726059</v>
      </c>
      <c r="M283" s="6">
        <v>0</v>
      </c>
      <c r="N283" s="6">
        <f t="shared" si="81"/>
        <v>15.7025706714537</v>
      </c>
      <c r="O283" s="7">
        <f t="shared" si="82"/>
        <v>4.06199825803837</v>
      </c>
    </row>
    <row r="284" spans="1:15">
      <c r="A284" s="3" t="s">
        <v>94</v>
      </c>
      <c r="B284" s="3" t="s">
        <v>55</v>
      </c>
      <c r="C284" s="3" t="s">
        <v>58</v>
      </c>
      <c r="D284" s="6">
        <v>0</v>
      </c>
      <c r="E284" s="6">
        <v>14.3320303945557</v>
      </c>
      <c r="F284" s="6">
        <v>0</v>
      </c>
      <c r="G284" s="6">
        <v>0</v>
      </c>
      <c r="H284" s="6">
        <v>0</v>
      </c>
      <c r="I284" s="6">
        <v>50.2372122585459</v>
      </c>
      <c r="J284" s="6">
        <v>0</v>
      </c>
      <c r="K284" s="6">
        <v>12.3677566251143</v>
      </c>
      <c r="L284" s="6">
        <v>5.50174091598964</v>
      </c>
      <c r="M284" s="6">
        <v>0</v>
      </c>
      <c r="N284" s="6">
        <f t="shared" si="81"/>
        <v>13.62134195993</v>
      </c>
      <c r="O284" s="7">
        <f t="shared" si="82"/>
        <v>3.87000382410436</v>
      </c>
    </row>
    <row r="285" spans="1:15">
      <c r="A285" s="3" t="s">
        <v>94</v>
      </c>
      <c r="B285" s="3" t="s">
        <v>55</v>
      </c>
      <c r="C285" s="3" t="s">
        <v>59</v>
      </c>
      <c r="D285" s="6">
        <v>0</v>
      </c>
      <c r="E285" s="6">
        <v>0</v>
      </c>
      <c r="F285" s="6">
        <v>0</v>
      </c>
      <c r="G285" s="6">
        <v>0</v>
      </c>
      <c r="H285" s="6">
        <v>0</v>
      </c>
      <c r="I285" s="6">
        <v>0</v>
      </c>
      <c r="J285" s="6">
        <v>0</v>
      </c>
      <c r="K285" s="6">
        <v>10.2143371056479</v>
      </c>
      <c r="L285" s="6">
        <v>1.1872766468886</v>
      </c>
      <c r="M285" s="6">
        <v>0</v>
      </c>
      <c r="N285" s="6">
        <f t="shared" si="81"/>
        <v>2.2803227505073</v>
      </c>
      <c r="O285" s="7">
        <f t="shared" si="82"/>
        <v>1.71383776839486</v>
      </c>
    </row>
    <row r="286" spans="1:15">
      <c r="A286" s="3" t="s">
        <v>94</v>
      </c>
      <c r="B286" s="3" t="s">
        <v>55</v>
      </c>
      <c r="C286" s="3" t="s">
        <v>60</v>
      </c>
      <c r="D286" s="6">
        <v>0</v>
      </c>
      <c r="E286" s="6">
        <v>13.9883874419417</v>
      </c>
      <c r="F286" s="6">
        <v>0</v>
      </c>
      <c r="G286" s="6">
        <v>5.15035069494617</v>
      </c>
      <c r="H286" s="6">
        <v>0</v>
      </c>
      <c r="I286" s="6">
        <v>0</v>
      </c>
      <c r="J286" s="6">
        <v>0</v>
      </c>
      <c r="K286" s="6">
        <v>4.1521680143268</v>
      </c>
      <c r="L286" s="6">
        <v>2.1224001748775</v>
      </c>
      <c r="M286" s="6">
        <v>0</v>
      </c>
      <c r="N286" s="6">
        <f t="shared" si="81"/>
        <v>1.25491363784086</v>
      </c>
      <c r="O286" s="7">
        <f t="shared" si="82"/>
        <v>1.17307217997971</v>
      </c>
    </row>
    <row r="287" spans="1:15">
      <c r="A287" s="3" t="s">
        <v>94</v>
      </c>
      <c r="B287" s="3" t="s">
        <v>55</v>
      </c>
      <c r="C287" s="3" t="s">
        <v>61</v>
      </c>
      <c r="D287" s="6">
        <v>0</v>
      </c>
      <c r="E287" s="6">
        <v>14.3282394252669</v>
      </c>
      <c r="F287" s="6">
        <v>0</v>
      </c>
      <c r="G287" s="6">
        <v>1.54869402458762</v>
      </c>
      <c r="H287" s="6">
        <v>0</v>
      </c>
      <c r="I287" s="6">
        <v>24.9113655590389</v>
      </c>
      <c r="J287" s="6">
        <v>0</v>
      </c>
      <c r="K287" s="6">
        <v>2.42879604018052</v>
      </c>
      <c r="L287" s="6">
        <v>5.56676514965095</v>
      </c>
      <c r="M287" s="6">
        <v>2.17826325507371</v>
      </c>
      <c r="N287" s="6">
        <f t="shared" si="81"/>
        <v>7.01703800078882</v>
      </c>
      <c r="O287" s="7">
        <f t="shared" si="82"/>
        <v>3.00306931263007</v>
      </c>
    </row>
    <row r="288" spans="1:15">
      <c r="A288" s="3" t="s">
        <v>94</v>
      </c>
      <c r="B288" s="3" t="s">
        <v>62</v>
      </c>
      <c r="C288" s="3" t="s">
        <v>63</v>
      </c>
      <c r="D288" s="6">
        <v>0</v>
      </c>
      <c r="E288" s="6">
        <v>25.0842034483285</v>
      </c>
      <c r="F288" s="6">
        <v>0</v>
      </c>
      <c r="G288" s="6">
        <v>17.3701705688678</v>
      </c>
      <c r="H288" s="6">
        <v>0</v>
      </c>
      <c r="I288" s="6">
        <v>13.5387055228944</v>
      </c>
      <c r="J288" s="6">
        <v>37.5728455279572</v>
      </c>
      <c r="K288" s="6">
        <v>106.425622685419</v>
      </c>
      <c r="L288" s="6">
        <v>15.7445355928949</v>
      </c>
      <c r="M288" s="6">
        <v>59.4633376786354</v>
      </c>
      <c r="N288" s="6">
        <f t="shared" si="81"/>
        <v>46.5490094015602</v>
      </c>
      <c r="O288" s="7">
        <f t="shared" si="82"/>
        <v>5.5713433803193</v>
      </c>
    </row>
    <row r="289" spans="1:15"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9"/>
    </row>
    <row r="290" spans="1:15"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12" t="s">
        <v>52</v>
      </c>
      <c r="O290" s="13" t="s">
        <v>53</v>
      </c>
    </row>
    <row r="291" spans="1:15">
      <c r="A291" s="3" t="s">
        <v>95</v>
      </c>
      <c r="B291" s="3" t="s">
        <v>55</v>
      </c>
      <c r="C291" s="3" t="s">
        <v>56</v>
      </c>
      <c r="D291" s="6">
        <v>0</v>
      </c>
      <c r="E291" s="6">
        <v>0</v>
      </c>
      <c r="F291" s="6">
        <v>0</v>
      </c>
      <c r="G291" s="6">
        <v>0</v>
      </c>
      <c r="H291" s="6">
        <v>0</v>
      </c>
      <c r="I291" s="6">
        <v>0</v>
      </c>
      <c r="J291" s="6">
        <v>0</v>
      </c>
      <c r="K291" s="6">
        <v>0</v>
      </c>
      <c r="L291" s="6">
        <v>0</v>
      </c>
      <c r="M291" s="6">
        <v>4.97177466621341</v>
      </c>
      <c r="N291" s="6">
        <f t="shared" ref="N291:N297" si="83">AVERAGE(I291:M291)</f>
        <v>0.994354933242682</v>
      </c>
      <c r="O291" s="7">
        <f t="shared" ref="O291:O297" si="84">LOG(N291+1,2)</f>
        <v>0.995922187499867</v>
      </c>
    </row>
    <row r="292" spans="1:15">
      <c r="A292" s="3" t="s">
        <v>95</v>
      </c>
      <c r="B292" s="3" t="s">
        <v>55</v>
      </c>
      <c r="C292" s="3" t="s">
        <v>57</v>
      </c>
      <c r="D292" s="6">
        <v>0</v>
      </c>
      <c r="E292" s="6">
        <v>0</v>
      </c>
      <c r="F292" s="6">
        <v>0</v>
      </c>
      <c r="G292" s="6">
        <v>0</v>
      </c>
      <c r="H292" s="6">
        <v>0</v>
      </c>
      <c r="I292" s="6">
        <v>0</v>
      </c>
      <c r="J292" s="6">
        <v>0</v>
      </c>
      <c r="K292" s="6">
        <v>0</v>
      </c>
      <c r="L292" s="6">
        <v>6.48913196212291</v>
      </c>
      <c r="M292" s="6">
        <v>2.55497356150507</v>
      </c>
      <c r="N292" s="6">
        <f t="shared" si="83"/>
        <v>1.8088211047256</v>
      </c>
      <c r="O292" s="7">
        <f t="shared" si="84"/>
        <v>1.48996474139417</v>
      </c>
    </row>
    <row r="293" spans="1:15">
      <c r="A293" s="3" t="s">
        <v>95</v>
      </c>
      <c r="B293" s="3" t="s">
        <v>55</v>
      </c>
      <c r="C293" s="3" t="s">
        <v>58</v>
      </c>
      <c r="D293" s="6">
        <v>0</v>
      </c>
      <c r="E293" s="6">
        <v>0</v>
      </c>
      <c r="F293" s="6">
        <v>0</v>
      </c>
      <c r="G293" s="6">
        <v>3.52016098663168</v>
      </c>
      <c r="H293" s="6">
        <v>0</v>
      </c>
      <c r="I293" s="6">
        <v>0</v>
      </c>
      <c r="J293" s="6">
        <v>0</v>
      </c>
      <c r="K293" s="6">
        <v>2.87938527994478</v>
      </c>
      <c r="L293" s="6">
        <v>0</v>
      </c>
      <c r="M293" s="6">
        <v>0</v>
      </c>
      <c r="N293" s="6">
        <f t="shared" si="83"/>
        <v>0.575877055988956</v>
      </c>
      <c r="O293" s="7">
        <f t="shared" si="84"/>
        <v>0.65615498553429</v>
      </c>
    </row>
    <row r="294" spans="1:15">
      <c r="A294" s="3" t="s">
        <v>95</v>
      </c>
      <c r="B294" s="3" t="s">
        <v>55</v>
      </c>
      <c r="C294" s="3" t="s">
        <v>59</v>
      </c>
      <c r="D294" s="6">
        <v>0</v>
      </c>
      <c r="E294" s="6">
        <v>0</v>
      </c>
      <c r="F294" s="6">
        <v>0</v>
      </c>
      <c r="G294" s="6">
        <v>0</v>
      </c>
      <c r="H294" s="6">
        <v>0</v>
      </c>
      <c r="I294" s="6">
        <v>0</v>
      </c>
      <c r="J294" s="6">
        <v>0</v>
      </c>
      <c r="K294" s="6">
        <v>0</v>
      </c>
      <c r="L294" s="6">
        <v>0</v>
      </c>
      <c r="M294" s="6">
        <v>0</v>
      </c>
      <c r="N294" s="6">
        <f t="shared" si="83"/>
        <v>0</v>
      </c>
      <c r="O294" s="7">
        <f t="shared" si="84"/>
        <v>0</v>
      </c>
    </row>
    <row r="295" spans="1:15">
      <c r="A295" s="3" t="s">
        <v>95</v>
      </c>
      <c r="B295" s="3" t="s">
        <v>55</v>
      </c>
      <c r="C295" s="3" t="s">
        <v>60</v>
      </c>
      <c r="D295" s="6">
        <v>0</v>
      </c>
      <c r="E295" s="6">
        <v>0</v>
      </c>
      <c r="F295" s="6">
        <v>0</v>
      </c>
      <c r="G295" s="6">
        <v>0</v>
      </c>
      <c r="H295" s="6">
        <v>0</v>
      </c>
      <c r="I295" s="6">
        <v>0</v>
      </c>
      <c r="J295" s="6">
        <v>0</v>
      </c>
      <c r="K295" s="6">
        <v>0</v>
      </c>
      <c r="L295" s="6">
        <v>0</v>
      </c>
      <c r="M295" s="6">
        <v>0</v>
      </c>
      <c r="N295" s="6">
        <f t="shared" si="83"/>
        <v>0</v>
      </c>
      <c r="O295" s="7">
        <f t="shared" si="84"/>
        <v>0</v>
      </c>
    </row>
    <row r="296" spans="1:15">
      <c r="A296" s="3" t="s">
        <v>95</v>
      </c>
      <c r="B296" s="3" t="s">
        <v>55</v>
      </c>
      <c r="C296" s="3" t="s">
        <v>61</v>
      </c>
      <c r="D296" s="6">
        <v>0</v>
      </c>
      <c r="E296" s="6">
        <v>0.298505584363979</v>
      </c>
      <c r="F296" s="6">
        <v>0</v>
      </c>
      <c r="G296" s="6">
        <v>0</v>
      </c>
      <c r="H296" s="6">
        <v>0</v>
      </c>
      <c r="I296" s="6">
        <v>0</v>
      </c>
      <c r="J296" s="6">
        <v>0</v>
      </c>
      <c r="K296" s="6">
        <v>0</v>
      </c>
      <c r="L296" s="6">
        <v>4.2093147717585</v>
      </c>
      <c r="M296" s="6">
        <v>0</v>
      </c>
      <c r="N296" s="6">
        <f t="shared" si="83"/>
        <v>0.8418629543517</v>
      </c>
      <c r="O296" s="7">
        <f t="shared" si="84"/>
        <v>0.881165720260633</v>
      </c>
    </row>
    <row r="297" spans="1:15">
      <c r="A297" s="3" t="s">
        <v>95</v>
      </c>
      <c r="B297" s="3" t="s">
        <v>62</v>
      </c>
      <c r="C297" s="3" t="s">
        <v>63</v>
      </c>
      <c r="D297" s="6">
        <v>0</v>
      </c>
      <c r="E297" s="6">
        <v>1.44843968195161</v>
      </c>
      <c r="F297" s="6">
        <v>0</v>
      </c>
      <c r="G297" s="6">
        <v>6.04910292121814</v>
      </c>
      <c r="H297" s="6">
        <v>0</v>
      </c>
      <c r="I297" s="6">
        <v>0</v>
      </c>
      <c r="J297" s="6">
        <v>0</v>
      </c>
      <c r="K297" s="6">
        <v>0</v>
      </c>
      <c r="L297" s="6">
        <v>6.51983908079858</v>
      </c>
      <c r="M297" s="6">
        <v>17.0606916113114</v>
      </c>
      <c r="N297" s="6">
        <f t="shared" si="83"/>
        <v>4.716106138422</v>
      </c>
      <c r="O297" s="7">
        <f t="shared" si="84"/>
        <v>2.51503270508898</v>
      </c>
    </row>
    <row r="298" spans="1:15"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9"/>
    </row>
    <row r="299" spans="1:15"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12" t="s">
        <v>52</v>
      </c>
      <c r="O299" s="13" t="s">
        <v>53</v>
      </c>
    </row>
    <row r="300" spans="1:15">
      <c r="A300" s="3" t="s">
        <v>96</v>
      </c>
      <c r="B300" s="3" t="s">
        <v>55</v>
      </c>
      <c r="C300" s="3" t="s">
        <v>56</v>
      </c>
      <c r="D300" s="6">
        <v>0</v>
      </c>
      <c r="E300" s="6">
        <v>0</v>
      </c>
      <c r="F300" s="6">
        <v>0</v>
      </c>
      <c r="G300" s="6">
        <v>0</v>
      </c>
      <c r="H300" s="6">
        <v>0</v>
      </c>
      <c r="I300" s="6">
        <v>0</v>
      </c>
      <c r="J300" s="6">
        <v>0</v>
      </c>
      <c r="K300" s="6">
        <v>0</v>
      </c>
      <c r="L300" s="6">
        <v>4.85434469468398</v>
      </c>
      <c r="M300" s="6">
        <v>0</v>
      </c>
      <c r="N300" s="6">
        <f t="shared" ref="N300:N306" si="85">AVERAGE(I300:M300)</f>
        <v>0.970868938936796</v>
      </c>
      <c r="O300" s="7">
        <f t="shared" ref="O300:O306" si="86">LOG(N300+1,2)</f>
        <v>0.978831841610894</v>
      </c>
    </row>
    <row r="301" spans="1:15">
      <c r="A301" s="3" t="s">
        <v>96</v>
      </c>
      <c r="B301" s="3" t="s">
        <v>55</v>
      </c>
      <c r="C301" s="3" t="s">
        <v>57</v>
      </c>
      <c r="D301" s="6">
        <v>0</v>
      </c>
      <c r="E301" s="6">
        <v>0</v>
      </c>
      <c r="F301" s="6">
        <v>0</v>
      </c>
      <c r="G301" s="6">
        <v>0</v>
      </c>
      <c r="H301" s="6">
        <v>0</v>
      </c>
      <c r="I301" s="6">
        <v>0</v>
      </c>
      <c r="J301" s="6">
        <v>0</v>
      </c>
      <c r="K301" s="6">
        <v>0</v>
      </c>
      <c r="L301" s="6">
        <v>1.09869383647565</v>
      </c>
      <c r="M301" s="6">
        <v>0</v>
      </c>
      <c r="N301" s="6">
        <f t="shared" si="85"/>
        <v>0.21973876729513</v>
      </c>
      <c r="O301" s="7">
        <f t="shared" si="86"/>
        <v>0.286572197392057</v>
      </c>
    </row>
    <row r="302" spans="1:15">
      <c r="A302" s="3" t="s">
        <v>96</v>
      </c>
      <c r="B302" s="3" t="s">
        <v>55</v>
      </c>
      <c r="C302" s="3" t="s">
        <v>58</v>
      </c>
      <c r="D302" s="6">
        <v>0</v>
      </c>
      <c r="E302" s="6">
        <v>0</v>
      </c>
      <c r="F302" s="6">
        <v>0</v>
      </c>
      <c r="G302" s="6">
        <v>0</v>
      </c>
      <c r="H302" s="6">
        <v>0</v>
      </c>
      <c r="I302" s="6">
        <v>7.86114417538713</v>
      </c>
      <c r="J302" s="6">
        <v>0</v>
      </c>
      <c r="K302" s="6">
        <v>3.36906178945163</v>
      </c>
      <c r="L302" s="6">
        <v>0</v>
      </c>
      <c r="M302" s="6">
        <v>0</v>
      </c>
      <c r="N302" s="6">
        <f t="shared" si="85"/>
        <v>2.24604119296775</v>
      </c>
      <c r="O302" s="7">
        <f t="shared" si="86"/>
        <v>1.69868130811546</v>
      </c>
    </row>
    <row r="303" spans="1:15">
      <c r="A303" s="3" t="s">
        <v>96</v>
      </c>
      <c r="B303" s="3" t="s">
        <v>55</v>
      </c>
      <c r="C303" s="3" t="s">
        <v>59</v>
      </c>
      <c r="D303" s="6">
        <v>0</v>
      </c>
      <c r="E303" s="6">
        <v>0</v>
      </c>
      <c r="F303" s="6">
        <v>0</v>
      </c>
      <c r="G303" s="6">
        <v>0</v>
      </c>
      <c r="H303" s="6">
        <v>0</v>
      </c>
      <c r="I303" s="6">
        <v>0</v>
      </c>
      <c r="J303" s="6">
        <v>0</v>
      </c>
      <c r="K303" s="6">
        <v>4.54295951323606</v>
      </c>
      <c r="L303" s="6">
        <v>0</v>
      </c>
      <c r="M303" s="6">
        <v>0</v>
      </c>
      <c r="N303" s="6">
        <f t="shared" si="85"/>
        <v>0.908591902647212</v>
      </c>
      <c r="O303" s="7">
        <f t="shared" si="86"/>
        <v>0.932508656975868</v>
      </c>
    </row>
    <row r="304" spans="1:15">
      <c r="A304" s="3" t="s">
        <v>96</v>
      </c>
      <c r="B304" s="3" t="s">
        <v>55</v>
      </c>
      <c r="C304" s="3" t="s">
        <v>60</v>
      </c>
      <c r="D304" s="6">
        <v>0</v>
      </c>
      <c r="E304" s="6">
        <v>3.97001025348059</v>
      </c>
      <c r="F304" s="6">
        <v>0</v>
      </c>
      <c r="G304" s="6">
        <v>0</v>
      </c>
      <c r="H304" s="6">
        <v>0</v>
      </c>
      <c r="I304" s="6">
        <v>0</v>
      </c>
      <c r="J304" s="6">
        <v>0</v>
      </c>
      <c r="K304" s="6">
        <v>0</v>
      </c>
      <c r="L304" s="6">
        <v>5.34163104601286</v>
      </c>
      <c r="M304" s="6">
        <v>0</v>
      </c>
      <c r="N304" s="6">
        <f t="shared" si="85"/>
        <v>1.06832620920257</v>
      </c>
      <c r="O304" s="7">
        <f t="shared" si="86"/>
        <v>1.04846374043263</v>
      </c>
    </row>
    <row r="305" spans="1:15">
      <c r="A305" s="3" t="s">
        <v>96</v>
      </c>
      <c r="B305" s="3" t="s">
        <v>55</v>
      </c>
      <c r="C305" s="3" t="s">
        <v>61</v>
      </c>
      <c r="D305" s="6">
        <v>0</v>
      </c>
      <c r="E305" s="6">
        <v>0</v>
      </c>
      <c r="F305" s="6">
        <v>10.3483518522576</v>
      </c>
      <c r="G305" s="6">
        <v>4.43500793668182</v>
      </c>
      <c r="H305" s="6">
        <v>0</v>
      </c>
      <c r="I305" s="6">
        <v>0</v>
      </c>
      <c r="J305" s="6">
        <v>0</v>
      </c>
      <c r="K305" s="6">
        <v>0</v>
      </c>
      <c r="L305" s="6">
        <v>0.954008781454994</v>
      </c>
      <c r="M305" s="6">
        <v>0</v>
      </c>
      <c r="N305" s="6">
        <f t="shared" si="85"/>
        <v>0.190801756290999</v>
      </c>
      <c r="O305" s="7">
        <f t="shared" si="86"/>
        <v>0.251933254493798</v>
      </c>
    </row>
    <row r="306" spans="1:15">
      <c r="A306" s="3" t="s">
        <v>96</v>
      </c>
      <c r="B306" s="3" t="s">
        <v>62</v>
      </c>
      <c r="C306" s="3" t="s">
        <v>63</v>
      </c>
      <c r="D306" s="6">
        <v>0</v>
      </c>
      <c r="E306" s="6">
        <v>0</v>
      </c>
      <c r="F306" s="6">
        <v>0</v>
      </c>
      <c r="G306" s="6">
        <v>0</v>
      </c>
      <c r="H306" s="6">
        <v>0</v>
      </c>
      <c r="I306" s="6">
        <v>0</v>
      </c>
      <c r="J306" s="6">
        <v>0</v>
      </c>
      <c r="K306" s="6">
        <v>0</v>
      </c>
      <c r="L306" s="6">
        <v>2.59998632586838</v>
      </c>
      <c r="M306" s="6">
        <v>5.96309276310994</v>
      </c>
      <c r="N306" s="6">
        <f t="shared" si="85"/>
        <v>1.71261581779566</v>
      </c>
      <c r="O306" s="7">
        <f t="shared" si="86"/>
        <v>1.43968473615338</v>
      </c>
    </row>
    <row r="307" spans="1:15"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9"/>
    </row>
    <row r="308" spans="1:15"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12" t="s">
        <v>52</v>
      </c>
      <c r="O308" s="13" t="s">
        <v>53</v>
      </c>
    </row>
    <row r="309" spans="1:15">
      <c r="A309" s="3" t="s">
        <v>97</v>
      </c>
      <c r="B309" s="3" t="s">
        <v>55</v>
      </c>
      <c r="C309" s="3" t="s">
        <v>56</v>
      </c>
      <c r="D309" s="6">
        <v>0</v>
      </c>
      <c r="E309" s="6">
        <v>0</v>
      </c>
      <c r="F309" s="6">
        <v>0</v>
      </c>
      <c r="G309" s="6">
        <v>0</v>
      </c>
      <c r="H309" s="6">
        <v>0</v>
      </c>
      <c r="I309" s="6">
        <v>0</v>
      </c>
      <c r="J309" s="6">
        <v>0</v>
      </c>
      <c r="K309" s="6">
        <v>3.73695326949919</v>
      </c>
      <c r="L309" s="6">
        <v>0</v>
      </c>
      <c r="M309" s="6">
        <v>0</v>
      </c>
      <c r="N309" s="6">
        <f t="shared" ref="N309:N315" si="87">AVERAGE(I309:M309)</f>
        <v>0.747390653899838</v>
      </c>
      <c r="O309" s="7">
        <f t="shared" ref="O309:O315" si="88">LOG(N309+1,2)</f>
        <v>0.805202179198891</v>
      </c>
    </row>
    <row r="310" spans="1:15">
      <c r="A310" s="3" t="s">
        <v>97</v>
      </c>
      <c r="B310" s="3" t="s">
        <v>55</v>
      </c>
      <c r="C310" s="3" t="s">
        <v>57</v>
      </c>
      <c r="D310" s="6">
        <v>0</v>
      </c>
      <c r="E310" s="6">
        <v>1.32803895216504</v>
      </c>
      <c r="F310" s="6">
        <v>0</v>
      </c>
      <c r="G310" s="6">
        <v>0</v>
      </c>
      <c r="H310" s="6">
        <v>0</v>
      </c>
      <c r="I310" s="6">
        <v>0</v>
      </c>
      <c r="J310" s="6">
        <v>26.5155349710884</v>
      </c>
      <c r="K310" s="6">
        <v>0</v>
      </c>
      <c r="L310" s="6">
        <v>0</v>
      </c>
      <c r="M310" s="6">
        <v>0</v>
      </c>
      <c r="N310" s="6">
        <f t="shared" si="87"/>
        <v>5.30310699421768</v>
      </c>
      <c r="O310" s="7">
        <f t="shared" si="88"/>
        <v>2.65606315245401</v>
      </c>
    </row>
    <row r="311" spans="1:15">
      <c r="A311" s="3" t="s">
        <v>97</v>
      </c>
      <c r="B311" s="3" t="s">
        <v>55</v>
      </c>
      <c r="C311" s="3" t="s">
        <v>58</v>
      </c>
      <c r="D311" s="6">
        <v>0</v>
      </c>
      <c r="E311" s="6">
        <v>0.228264423622527</v>
      </c>
      <c r="F311" s="6">
        <v>0</v>
      </c>
      <c r="G311" s="6">
        <v>0</v>
      </c>
      <c r="H311" s="6">
        <v>0</v>
      </c>
      <c r="I311" s="6">
        <v>0</v>
      </c>
      <c r="J311" s="6">
        <v>0</v>
      </c>
      <c r="K311" s="6">
        <v>2.51646508348138</v>
      </c>
      <c r="L311" s="6">
        <v>2.34334081575235</v>
      </c>
      <c r="M311" s="6">
        <v>0</v>
      </c>
      <c r="N311" s="6">
        <f t="shared" si="87"/>
        <v>0.971961179846746</v>
      </c>
      <c r="O311" s="7">
        <f t="shared" si="88"/>
        <v>0.979631151009005</v>
      </c>
    </row>
    <row r="312" spans="1:15">
      <c r="A312" s="3" t="s">
        <v>97</v>
      </c>
      <c r="B312" s="3" t="s">
        <v>55</v>
      </c>
      <c r="C312" s="3" t="s">
        <v>59</v>
      </c>
      <c r="D312" s="6">
        <v>0</v>
      </c>
      <c r="E312" s="6">
        <v>0</v>
      </c>
      <c r="F312" s="6">
        <v>0</v>
      </c>
      <c r="G312" s="6">
        <v>0</v>
      </c>
      <c r="H312" s="6">
        <v>0</v>
      </c>
      <c r="I312" s="6">
        <v>0</v>
      </c>
      <c r="J312" s="6">
        <v>4.63136646219133</v>
      </c>
      <c r="K312" s="6">
        <v>0</v>
      </c>
      <c r="L312" s="6">
        <v>0</v>
      </c>
      <c r="M312" s="6">
        <v>0</v>
      </c>
      <c r="N312" s="6">
        <f t="shared" si="87"/>
        <v>0.926273292438266</v>
      </c>
      <c r="O312" s="7">
        <f t="shared" si="88"/>
        <v>0.94581240187024</v>
      </c>
    </row>
    <row r="313" spans="1:15">
      <c r="A313" s="3" t="s">
        <v>97</v>
      </c>
      <c r="B313" s="3" t="s">
        <v>55</v>
      </c>
      <c r="C313" s="3" t="s">
        <v>60</v>
      </c>
      <c r="D313" s="6">
        <v>0</v>
      </c>
      <c r="E313" s="6">
        <v>0</v>
      </c>
      <c r="F313" s="6">
        <v>0</v>
      </c>
      <c r="G313" s="6">
        <v>0</v>
      </c>
      <c r="H313" s="6">
        <v>0</v>
      </c>
      <c r="I313" s="6">
        <v>0</v>
      </c>
      <c r="J313" s="6">
        <v>0</v>
      </c>
      <c r="K313" s="6">
        <v>0</v>
      </c>
      <c r="L313" s="6">
        <v>0.252954457261791</v>
      </c>
      <c r="M313" s="6">
        <v>0</v>
      </c>
      <c r="N313" s="6">
        <f t="shared" si="87"/>
        <v>0.0505908914523582</v>
      </c>
      <c r="O313" s="7">
        <f t="shared" si="88"/>
        <v>0.0712009815970051</v>
      </c>
    </row>
    <row r="314" spans="1:15">
      <c r="A314" s="3" t="s">
        <v>97</v>
      </c>
      <c r="B314" s="3" t="s">
        <v>55</v>
      </c>
      <c r="C314" s="3" t="s">
        <v>61</v>
      </c>
      <c r="D314" s="6">
        <v>0</v>
      </c>
      <c r="E314" s="6">
        <v>1.46524719141799</v>
      </c>
      <c r="F314" s="6">
        <v>0</v>
      </c>
      <c r="G314" s="6">
        <v>0</v>
      </c>
      <c r="H314" s="6">
        <v>0</v>
      </c>
      <c r="I314" s="6">
        <v>0</v>
      </c>
      <c r="J314" s="6">
        <v>1.42821628074954</v>
      </c>
      <c r="K314" s="6">
        <v>0</v>
      </c>
      <c r="L314" s="6">
        <v>5.14059073373746</v>
      </c>
      <c r="M314" s="6">
        <v>0</v>
      </c>
      <c r="N314" s="6">
        <f t="shared" si="87"/>
        <v>1.3137614028974</v>
      </c>
      <c r="O314" s="7">
        <f t="shared" si="88"/>
        <v>1.21024010013928</v>
      </c>
    </row>
    <row r="315" spans="1:15">
      <c r="A315" s="3" t="s">
        <v>97</v>
      </c>
      <c r="B315" s="3" t="s">
        <v>62</v>
      </c>
      <c r="C315" s="3" t="s">
        <v>63</v>
      </c>
      <c r="D315" s="6">
        <v>0</v>
      </c>
      <c r="E315" s="6">
        <v>0</v>
      </c>
      <c r="F315" s="6">
        <v>0</v>
      </c>
      <c r="G315" s="6">
        <v>15.8311916372605</v>
      </c>
      <c r="H315" s="6">
        <v>0</v>
      </c>
      <c r="I315" s="6">
        <v>0</v>
      </c>
      <c r="J315" s="6">
        <v>28.7791719251741</v>
      </c>
      <c r="K315" s="6">
        <v>0</v>
      </c>
      <c r="L315" s="6">
        <v>8.82117708656717</v>
      </c>
      <c r="M315" s="6">
        <v>29.8053350366518</v>
      </c>
      <c r="N315" s="6">
        <f t="shared" si="87"/>
        <v>13.4811368096786</v>
      </c>
      <c r="O315" s="7">
        <f t="shared" si="88"/>
        <v>3.85610295734364</v>
      </c>
    </row>
    <row r="316" spans="1:15"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</row>
    <row r="317" spans="1:15"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12" t="s">
        <v>52</v>
      </c>
      <c r="O317" s="13" t="s">
        <v>53</v>
      </c>
    </row>
    <row r="318" spans="1:15">
      <c r="A318" s="3" t="s">
        <v>98</v>
      </c>
      <c r="B318" s="3" t="s">
        <v>55</v>
      </c>
      <c r="C318" s="3" t="s">
        <v>56</v>
      </c>
      <c r="D318" s="6">
        <v>0</v>
      </c>
      <c r="E318" s="6">
        <v>0</v>
      </c>
      <c r="F318" s="6">
        <v>0</v>
      </c>
      <c r="G318" s="6">
        <v>0</v>
      </c>
      <c r="H318" s="6">
        <v>0</v>
      </c>
      <c r="I318" s="6">
        <v>0</v>
      </c>
      <c r="J318" s="6">
        <v>65.4070704382123</v>
      </c>
      <c r="K318" s="6">
        <v>0</v>
      </c>
      <c r="L318" s="6">
        <v>0</v>
      </c>
      <c r="M318" s="6">
        <v>0</v>
      </c>
      <c r="N318" s="6">
        <f t="shared" ref="N318:N321" si="89">AVERAGE(I318:M318)</f>
        <v>13.0814140876425</v>
      </c>
      <c r="O318" s="7">
        <f t="shared" ref="O318:O321" si="90">LOG(N318+1,2)</f>
        <v>3.81572031485619</v>
      </c>
    </row>
    <row r="319" spans="1:15">
      <c r="A319" s="3" t="s">
        <v>98</v>
      </c>
      <c r="B319" s="3" t="s">
        <v>55</v>
      </c>
      <c r="C319" s="3" t="s">
        <v>57</v>
      </c>
      <c r="D319" s="6">
        <v>0</v>
      </c>
      <c r="E319" s="6">
        <v>0</v>
      </c>
      <c r="F319" s="6">
        <v>0</v>
      </c>
      <c r="G319" s="6">
        <v>0</v>
      </c>
      <c r="H319" s="6">
        <v>0</v>
      </c>
      <c r="I319" s="6">
        <v>0</v>
      </c>
      <c r="J319" s="6">
        <v>4.49175138865451</v>
      </c>
      <c r="K319" s="6">
        <v>0</v>
      </c>
      <c r="L319" s="6">
        <v>0</v>
      </c>
      <c r="M319" s="6">
        <v>0.20497659978685</v>
      </c>
      <c r="N319" s="6">
        <f t="shared" si="89"/>
        <v>0.939345597688272</v>
      </c>
      <c r="O319" s="7">
        <f t="shared" si="90"/>
        <v>0.955569919299791</v>
      </c>
    </row>
    <row r="320" spans="1:15">
      <c r="A320" s="3" t="s">
        <v>98</v>
      </c>
      <c r="B320" s="3" t="s">
        <v>55</v>
      </c>
      <c r="C320" s="3" t="s">
        <v>58</v>
      </c>
      <c r="D320" s="6">
        <v>0</v>
      </c>
      <c r="E320" s="6">
        <v>0</v>
      </c>
      <c r="F320" s="6">
        <v>0</v>
      </c>
      <c r="G320" s="6">
        <v>0</v>
      </c>
      <c r="H320" s="6">
        <v>0</v>
      </c>
      <c r="I320" s="6">
        <v>0</v>
      </c>
      <c r="J320" s="6">
        <v>0</v>
      </c>
      <c r="K320" s="6">
        <v>0</v>
      </c>
      <c r="L320" s="6">
        <v>0</v>
      </c>
      <c r="M320" s="6">
        <v>0</v>
      </c>
      <c r="N320" s="6">
        <f t="shared" si="89"/>
        <v>0</v>
      </c>
      <c r="O320" s="7">
        <f t="shared" si="90"/>
        <v>0</v>
      </c>
    </row>
    <row r="321" spans="1:15">
      <c r="A321" s="3" t="s">
        <v>98</v>
      </c>
      <c r="B321" s="3" t="s">
        <v>55</v>
      </c>
      <c r="C321" s="3" t="s">
        <v>59</v>
      </c>
      <c r="D321" s="6">
        <v>0</v>
      </c>
      <c r="E321" s="6">
        <v>1.0367093889473</v>
      </c>
      <c r="F321" s="6">
        <v>0</v>
      </c>
      <c r="G321" s="6">
        <v>0</v>
      </c>
      <c r="H321" s="6">
        <v>0</v>
      </c>
      <c r="I321" s="6">
        <v>0</v>
      </c>
      <c r="J321" s="6">
        <v>0</v>
      </c>
      <c r="K321" s="6">
        <v>0</v>
      </c>
      <c r="L321" s="6">
        <v>5.08117865807119</v>
      </c>
      <c r="M321" s="6">
        <v>0</v>
      </c>
      <c r="N321" s="6">
        <f t="shared" si="89"/>
        <v>1.01623573161424</v>
      </c>
      <c r="O321" s="7">
        <f t="shared" si="90"/>
        <v>1.01166432383239</v>
      </c>
    </row>
    <row r="322" spans="1:15">
      <c r="A322" s="3" t="s">
        <v>98</v>
      </c>
      <c r="B322" s="3" t="s">
        <v>55</v>
      </c>
      <c r="C322" s="3" t="s">
        <v>60</v>
      </c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7"/>
    </row>
    <row r="323" spans="1:15">
      <c r="A323" s="3" t="s">
        <v>98</v>
      </c>
      <c r="B323" s="3" t="s">
        <v>55</v>
      </c>
      <c r="C323" s="3" t="s">
        <v>61</v>
      </c>
      <c r="D323" s="6">
        <v>0</v>
      </c>
      <c r="E323" s="6">
        <v>0</v>
      </c>
      <c r="F323" s="6">
        <v>0</v>
      </c>
      <c r="G323" s="6">
        <v>0</v>
      </c>
      <c r="H323" s="6">
        <v>0</v>
      </c>
      <c r="I323" s="6">
        <v>0</v>
      </c>
      <c r="J323" s="6">
        <v>0</v>
      </c>
      <c r="K323" s="6">
        <v>0</v>
      </c>
      <c r="L323" s="6">
        <v>0.132572637269015</v>
      </c>
      <c r="M323" s="6">
        <v>3.45149977869327</v>
      </c>
      <c r="N323" s="6">
        <f t="shared" ref="N323:N333" si="91">AVERAGE(I323:M323)</f>
        <v>0.716814483192457</v>
      </c>
      <c r="O323" s="7">
        <f t="shared" ref="O323:O333" si="92">LOG(N323+1,2)</f>
        <v>0.779734151956023</v>
      </c>
    </row>
    <row r="324" spans="1:15">
      <c r="A324" s="3" t="s">
        <v>98</v>
      </c>
      <c r="B324" s="3" t="s">
        <v>62</v>
      </c>
      <c r="C324" s="3" t="s">
        <v>63</v>
      </c>
      <c r="D324" s="6">
        <v>0</v>
      </c>
      <c r="E324" s="6">
        <v>0.932930559369703</v>
      </c>
      <c r="F324" s="6">
        <v>0</v>
      </c>
      <c r="G324" s="6">
        <v>0</v>
      </c>
      <c r="H324" s="6">
        <v>0</v>
      </c>
      <c r="I324" s="6">
        <v>0</v>
      </c>
      <c r="J324" s="6">
        <v>0</v>
      </c>
      <c r="K324" s="6">
        <v>0</v>
      </c>
      <c r="L324" s="6">
        <v>5.58958390417898</v>
      </c>
      <c r="M324" s="6">
        <v>0</v>
      </c>
      <c r="N324" s="6">
        <f t="shared" si="91"/>
        <v>1.1179167808358</v>
      </c>
      <c r="O324" s="7">
        <f t="shared" si="92"/>
        <v>1.08264590272297</v>
      </c>
    </row>
    <row r="325" spans="1:15"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</row>
    <row r="326" spans="1:15"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12" t="s">
        <v>52</v>
      </c>
      <c r="O326" s="13" t="s">
        <v>53</v>
      </c>
    </row>
    <row r="327" spans="1:15">
      <c r="A327" s="3" t="s">
        <v>99</v>
      </c>
      <c r="B327" s="3" t="s">
        <v>55</v>
      </c>
      <c r="C327" s="3" t="s">
        <v>56</v>
      </c>
      <c r="D327" s="6">
        <v>0</v>
      </c>
      <c r="E327" s="6">
        <v>0</v>
      </c>
      <c r="F327" s="6">
        <v>0</v>
      </c>
      <c r="G327" s="6">
        <v>0</v>
      </c>
      <c r="H327" s="6">
        <v>0</v>
      </c>
      <c r="I327" s="6">
        <v>0</v>
      </c>
      <c r="J327" s="6">
        <v>0</v>
      </c>
      <c r="K327" s="6">
        <v>6.12283239773698</v>
      </c>
      <c r="L327" s="6">
        <v>0</v>
      </c>
      <c r="M327" s="6">
        <v>0</v>
      </c>
      <c r="N327" s="6">
        <f t="shared" si="91"/>
        <v>1.2245664795474</v>
      </c>
      <c r="O327" s="7">
        <f t="shared" si="92"/>
        <v>1.15352421304741</v>
      </c>
    </row>
    <row r="328" spans="1:15">
      <c r="A328" s="3" t="s">
        <v>99</v>
      </c>
      <c r="B328" s="3" t="s">
        <v>55</v>
      </c>
      <c r="C328" s="3" t="s">
        <v>57</v>
      </c>
      <c r="D328" s="6">
        <v>0</v>
      </c>
      <c r="E328" s="6">
        <v>21.7126335895997</v>
      </c>
      <c r="F328" s="6">
        <v>0</v>
      </c>
      <c r="G328" s="6">
        <v>3.24128069537557</v>
      </c>
      <c r="H328" s="6">
        <v>0</v>
      </c>
      <c r="I328" s="6">
        <v>0</v>
      </c>
      <c r="J328" s="6">
        <v>21.0778607388355</v>
      </c>
      <c r="K328" s="6">
        <v>0</v>
      </c>
      <c r="L328" s="6">
        <v>1.62124326987495</v>
      </c>
      <c r="M328" s="6">
        <v>0.693194207842061</v>
      </c>
      <c r="N328" s="6">
        <f t="shared" si="91"/>
        <v>4.6784596433105</v>
      </c>
      <c r="O328" s="7">
        <f t="shared" si="92"/>
        <v>2.50549963283926</v>
      </c>
    </row>
    <row r="329" spans="1:15">
      <c r="A329" s="3" t="s">
        <v>99</v>
      </c>
      <c r="B329" s="3" t="s">
        <v>55</v>
      </c>
      <c r="C329" s="3" t="s">
        <v>58</v>
      </c>
      <c r="D329" s="6">
        <v>0</v>
      </c>
      <c r="E329" s="6">
        <v>0</v>
      </c>
      <c r="F329" s="6">
        <v>0</v>
      </c>
      <c r="G329" s="6">
        <v>0</v>
      </c>
      <c r="H329" s="6">
        <v>0</v>
      </c>
      <c r="I329" s="6">
        <v>0</v>
      </c>
      <c r="J329" s="6">
        <v>0</v>
      </c>
      <c r="K329" s="6">
        <v>5.164893364921</v>
      </c>
      <c r="L329" s="6">
        <v>0</v>
      </c>
      <c r="M329" s="6">
        <v>0</v>
      </c>
      <c r="N329" s="6">
        <f t="shared" si="91"/>
        <v>1.0329786729842</v>
      </c>
      <c r="O329" s="7">
        <f t="shared" si="92"/>
        <v>1.02359508063207</v>
      </c>
    </row>
    <row r="330" spans="1:15">
      <c r="A330" s="3" t="s">
        <v>99</v>
      </c>
      <c r="B330" s="3" t="s">
        <v>55</v>
      </c>
      <c r="C330" s="3" t="s">
        <v>59</v>
      </c>
      <c r="D330" s="6">
        <v>0</v>
      </c>
      <c r="E330" s="6">
        <v>0</v>
      </c>
      <c r="F330" s="6">
        <v>0</v>
      </c>
      <c r="G330" s="6">
        <v>6.74408115300849</v>
      </c>
      <c r="H330" s="6">
        <v>0</v>
      </c>
      <c r="I330" s="6">
        <v>0</v>
      </c>
      <c r="J330" s="6">
        <v>0</v>
      </c>
      <c r="K330" s="6">
        <v>1.73289070965986</v>
      </c>
      <c r="L330" s="6">
        <v>0.314518147838945</v>
      </c>
      <c r="M330" s="6">
        <v>1.48446491158052</v>
      </c>
      <c r="N330" s="6">
        <f t="shared" si="91"/>
        <v>0.706374753815865</v>
      </c>
      <c r="O330" s="7">
        <f t="shared" si="92"/>
        <v>0.770934525963361</v>
      </c>
    </row>
    <row r="331" spans="1:15">
      <c r="A331" s="3" t="s">
        <v>99</v>
      </c>
      <c r="B331" s="3" t="s">
        <v>55</v>
      </c>
      <c r="C331" s="3" t="s">
        <v>60</v>
      </c>
      <c r="D331" s="6">
        <v>0</v>
      </c>
      <c r="E331" s="6">
        <v>1.26703308891491</v>
      </c>
      <c r="F331" s="6">
        <v>0</v>
      </c>
      <c r="G331" s="6">
        <v>0.373042266626788</v>
      </c>
      <c r="H331" s="6">
        <v>0</v>
      </c>
      <c r="I331" s="6">
        <v>0</v>
      </c>
      <c r="J331" s="6">
        <v>0</v>
      </c>
      <c r="K331" s="6">
        <v>13.4822917695067</v>
      </c>
      <c r="L331" s="6">
        <v>1.57920603364711</v>
      </c>
      <c r="M331" s="6">
        <v>0</v>
      </c>
      <c r="N331" s="6">
        <f t="shared" si="91"/>
        <v>3.01229956063076</v>
      </c>
      <c r="O331" s="7">
        <f t="shared" si="92"/>
        <v>2.00442932242637</v>
      </c>
    </row>
    <row r="332" spans="1:15">
      <c r="A332" s="3" t="s">
        <v>99</v>
      </c>
      <c r="B332" s="3" t="s">
        <v>55</v>
      </c>
      <c r="C332" s="3" t="s">
        <v>61</v>
      </c>
      <c r="D332" s="6">
        <v>0</v>
      </c>
      <c r="E332" s="6">
        <v>0</v>
      </c>
      <c r="F332" s="6">
        <v>0</v>
      </c>
      <c r="G332" s="6">
        <v>0</v>
      </c>
      <c r="H332" s="6">
        <v>0</v>
      </c>
      <c r="I332" s="6">
        <v>0</v>
      </c>
      <c r="J332" s="6">
        <v>0</v>
      </c>
      <c r="K332" s="6">
        <v>4.03359890247604</v>
      </c>
      <c r="L332" s="6">
        <v>4.75868667947003</v>
      </c>
      <c r="M332" s="6">
        <v>0</v>
      </c>
      <c r="N332" s="6">
        <f t="shared" si="91"/>
        <v>1.75845711638921</v>
      </c>
      <c r="O332" s="7">
        <f t="shared" si="92"/>
        <v>1.46386155217537</v>
      </c>
    </row>
    <row r="333" spans="1:15">
      <c r="A333" s="3" t="s">
        <v>99</v>
      </c>
      <c r="B333" s="3" t="s">
        <v>62</v>
      </c>
      <c r="C333" s="3" t="s">
        <v>63</v>
      </c>
      <c r="D333" s="6">
        <v>0</v>
      </c>
      <c r="E333" s="6">
        <v>0</v>
      </c>
      <c r="F333" s="6">
        <v>0</v>
      </c>
      <c r="G333" s="6">
        <v>27.0559279931195</v>
      </c>
      <c r="H333" s="6">
        <v>0</v>
      </c>
      <c r="I333" s="6">
        <v>0</v>
      </c>
      <c r="J333" s="6">
        <v>0</v>
      </c>
      <c r="K333" s="6">
        <v>72.3012935064016</v>
      </c>
      <c r="L333" s="6">
        <v>14.0808263919997</v>
      </c>
      <c r="M333" s="6">
        <v>57.149545487243</v>
      </c>
      <c r="N333" s="6">
        <f t="shared" si="91"/>
        <v>28.7063330771289</v>
      </c>
      <c r="O333" s="7">
        <f t="shared" si="92"/>
        <v>4.89269862608089</v>
      </c>
    </row>
  </sheetData>
  <mergeCells count="1">
    <mergeCell ref="D1:M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Fig. 4a</vt:lpstr>
      <vt:lpstr>Fig. 4b</vt:lpstr>
      <vt:lpstr>Fig. 4c</vt:lpstr>
      <vt:lpstr>Fig. 4e and Fig.5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25893</dc:creator>
  <cp:lastModifiedBy>遠空</cp:lastModifiedBy>
  <dcterms:created xsi:type="dcterms:W3CDTF">2026-08-03T14:33:36Z</dcterms:created>
  <dcterms:modified xsi:type="dcterms:W3CDTF">2026-08-03T14:36:08Z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9D75CD5C62AA45CC825B1F82CCAB9436_11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